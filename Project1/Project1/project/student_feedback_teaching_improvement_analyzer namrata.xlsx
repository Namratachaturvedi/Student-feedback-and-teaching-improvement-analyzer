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Relationships" sheetId="2" state="visible" r:id="rId4"/>
    <sheet name="Analyzer" sheetId="3" state="visible" r:id="rId5"/>
    <sheet name="Chart_Data" sheetId="4" state="visible" r:id="rId6"/>
    <sheet name="Controls" sheetId="5" state="visible" r:id="rId7"/>
    <sheet name="Source_Data" sheetId="6" state="visible" r:id="rId8"/>
  </sheets>
  <definedNames>
    <definedName function="false" hidden="true" localSheetId="2" name="_xlnm._FilterDatabase" vbProcedure="false">Analyzer!$A$2:$Z$101</definedName>
    <definedName function="false" hidden="true" localSheetId="5" name="_xlnm._FilterDatabase" vbProcedure="false">Source_Data!$A$1:$BG$101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<sst xmlns="http://schemas.openxmlformats.org/spreadsheetml/2006/main" count="3034" uniqueCount="677">
  <si>
    <t xml:space="preserve">Student Feedback &amp; Teaching Improvement Analyzer Dashboard</t>
  </si>
  <si>
    <t xml:space="preserve">Use Controls sheet thresholds to refresh faculty flags, priority levels, and all charts.</t>
  </si>
  <si>
    <t xml:space="preserve">Total Faculty</t>
  </si>
  <si>
    <t xml:space="preserve">Average Feedback</t>
  </si>
  <si>
    <t xml:space="preserve">Average Performance</t>
  </si>
  <si>
    <t xml:space="preserve">Average Workload %</t>
  </si>
  <si>
    <t xml:space="preserve">Faculty Below 4.0</t>
  </si>
  <si>
    <t xml:space="preserve">High Priority Faculty</t>
  </si>
  <si>
    <t xml:space="preserve">Primary charts</t>
  </si>
  <si>
    <t xml:space="preserve">Feedback Driver Relationships</t>
  </si>
  <si>
    <t xml:space="preserve">Scatter charts show how feedback aligns with teaching and faculty development metrics.</t>
  </si>
  <si>
    <t xml:space="preserve">Faculty-Level Student Feedback &amp; Teaching Improvement Analyzer</t>
  </si>
  <si>
    <t xml:space="preserve">Chart Data (formula-driven)</t>
  </si>
  <si>
    <t xml:space="preserve">Feedback Band</t>
  </si>
  <si>
    <t xml:space="preserve">Faculty Count</t>
  </si>
  <si>
    <t xml:space="preserve">Department</t>
  </si>
  <si>
    <t xml:space="preserve">Avg Feedback</t>
  </si>
  <si>
    <t xml:space="preserve">Designation</t>
  </si>
  <si>
    <t xml:space="preserve">Improvement Focus</t>
  </si>
  <si>
    <t xml:space="preserve">Flagged Faculty</t>
  </si>
  <si>
    <t xml:space="preserve">Training Band</t>
  </si>
  <si>
    <t xml:space="preserve">Critical</t>
  </si>
  <si>
    <t xml:space="preserve">Economics</t>
  </si>
  <si>
    <t xml:space="preserve">Assistant Professor</t>
  </si>
  <si>
    <t xml:space="preserve">Attendance</t>
  </si>
  <si>
    <t xml:space="preserve">Low Training</t>
  </si>
  <si>
    <t xml:space="preserve">Needs Support</t>
  </si>
  <si>
    <t xml:space="preserve">Commerce</t>
  </si>
  <si>
    <t xml:space="preserve">Professor</t>
  </si>
  <si>
    <t xml:space="preserve">Completion</t>
  </si>
  <si>
    <t xml:space="preserve">Mid Training</t>
  </si>
  <si>
    <t xml:space="preserve">Good</t>
  </si>
  <si>
    <t xml:space="preserve">Mathematics</t>
  </si>
  <si>
    <t xml:space="preserve">Lecturer</t>
  </si>
  <si>
    <t xml:space="preserve">Training</t>
  </si>
  <si>
    <t xml:space="preserve">High Training</t>
  </si>
  <si>
    <t xml:space="preserve">Excellent</t>
  </si>
  <si>
    <t xml:space="preserve">Management</t>
  </si>
  <si>
    <t xml:space="preserve">Performance</t>
  </si>
  <si>
    <t xml:space="preserve">Computer Science</t>
  </si>
  <si>
    <t xml:space="preserve">Workload</t>
  </si>
  <si>
    <t xml:space="preserve">Student Feedback &amp; Teaching Improvement Analyzer Controls</t>
  </si>
  <si>
    <t xml:space="preserve">Control</t>
  </si>
  <si>
    <t xml:space="preserve">Value</t>
  </si>
  <si>
    <t xml:space="preserve">Description</t>
  </si>
  <si>
    <t xml:space="preserve">Critical feedback threshold</t>
  </si>
  <si>
    <t xml:space="preserve">Feedback score below this is Critical</t>
  </si>
  <si>
    <t xml:space="preserve">Support feedback threshold</t>
  </si>
  <si>
    <t xml:space="preserve">Feedback score below this needs support</t>
  </si>
  <si>
    <t xml:space="preserve">Excellent feedback threshold</t>
  </si>
  <si>
    <t xml:space="preserve">Feedback score at or above this is Excellent</t>
  </si>
  <si>
    <t xml:space="preserve">High workload threshold (%)</t>
  </si>
  <si>
    <t xml:space="preserve">Workload above this is flagged</t>
  </si>
  <si>
    <t xml:space="preserve">Low workload threshold (%)</t>
  </si>
  <si>
    <t xml:space="preserve">Workload below this is considered low</t>
  </si>
  <si>
    <t xml:space="preserve">Low attendance threshold (%)</t>
  </si>
  <si>
    <t xml:space="preserve">Attendance below this is flagged</t>
  </si>
  <si>
    <t xml:space="preserve">Low completion threshold (%)</t>
  </si>
  <si>
    <t xml:space="preserve">Course completion below this is flagged</t>
  </si>
  <si>
    <t xml:space="preserve">Low training threshold (hrs)</t>
  </si>
  <si>
    <t xml:space="preserve">Training below this is flagged</t>
  </si>
  <si>
    <t xml:space="preserve">Low performance threshold</t>
  </si>
  <si>
    <t xml:space="preserve">Performance rating below this is flagged</t>
  </si>
  <si>
    <t xml:space="preserve">High training threshold (hrs)</t>
  </si>
  <si>
    <t xml:space="preserve">Used for training band chart</t>
  </si>
  <si>
    <t xml:space="preserve">Tip: update the Values column to refresh the analyzer and charts.</t>
  </si>
  <si>
    <t xml:space="preserve">faculty_id</t>
  </si>
  <si>
    <t xml:space="preserve">faculty_name</t>
  </si>
  <si>
    <t xml:space="preserve">faculty_email</t>
  </si>
  <si>
    <t xml:space="preserve">faculty_phone</t>
  </si>
  <si>
    <t xml:space="preserve">department_name</t>
  </si>
  <si>
    <t xml:space="preserve">designation</t>
  </si>
  <si>
    <t xml:space="preserve">employment_type</t>
  </si>
  <si>
    <t xml:space="preserve">date_of_joining</t>
  </si>
  <si>
    <t xml:space="preserve">experience_years</t>
  </si>
  <si>
    <t xml:space="preserve">qualification</t>
  </si>
  <si>
    <t xml:space="preserve">subject_name</t>
  </si>
  <si>
    <t xml:space="preserve">subject_code</t>
  </si>
  <si>
    <t xml:space="preserve">course_type</t>
  </si>
  <si>
    <t xml:space="preserve">semester_number</t>
  </si>
  <si>
    <t xml:space="preserve">section_name</t>
  </si>
  <si>
    <t xml:space="preserve">subjects_assigned_count</t>
  </si>
  <si>
    <t xml:space="preserve">hours_per_subject</t>
  </si>
  <si>
    <t xml:space="preserve">lecture_hours</t>
  </si>
  <si>
    <t xml:space="preserve">lab_hours</t>
  </si>
  <si>
    <t xml:space="preserve">tutorial_hours</t>
  </si>
  <si>
    <t xml:space="preserve">weekly_teaching_hours</t>
  </si>
  <si>
    <t xml:space="preserve">monthly_teaching_hours</t>
  </si>
  <si>
    <t xml:space="preserve">max_allowed_hours</t>
  </si>
  <si>
    <t xml:space="preserve">extra_hours</t>
  </si>
  <si>
    <t xml:space="preserve">remaining_capacity_hours</t>
  </si>
  <si>
    <t xml:space="preserve">workload_percentage</t>
  </si>
  <si>
    <t xml:space="preserve">workload_status</t>
  </si>
  <si>
    <t xml:space="preserve">faculty_availability</t>
  </si>
  <si>
    <t xml:space="preserve">schedule_conflict</t>
  </si>
  <si>
    <t xml:space="preserve">class_count_per_week</t>
  </si>
  <si>
    <t xml:space="preserve">class_day</t>
  </si>
  <si>
    <t xml:space="preserve">class_start_time</t>
  </si>
  <si>
    <t xml:space="preserve">class_end_time</t>
  </si>
  <si>
    <t xml:space="preserve">total_class_duration</t>
  </si>
  <si>
    <t xml:space="preserve">break_time</t>
  </si>
  <si>
    <t xml:space="preserve">room_number</t>
  </si>
  <si>
    <t xml:space="preserve">online_offline_mode</t>
  </si>
  <si>
    <t xml:space="preserve">calendar_slot</t>
  </si>
  <si>
    <t xml:space="preserve">holiday_flag</t>
  </si>
  <si>
    <t xml:space="preserve">rescheduled_class</t>
  </si>
  <si>
    <t xml:space="preserve">research_hours</t>
  </si>
  <si>
    <t xml:space="preserve">administrative_hours</t>
  </si>
  <si>
    <t xml:space="preserve">committee_assignment</t>
  </si>
  <si>
    <t xml:space="preserve">meeting_hours</t>
  </si>
  <si>
    <t xml:space="preserve">student_mentoring_hours</t>
  </si>
  <si>
    <t xml:space="preserve">exam_duty_hours</t>
  </si>
  <si>
    <t xml:space="preserve">evaluation_hours</t>
  </si>
  <si>
    <t xml:space="preserve">student_feedback_score</t>
  </si>
  <si>
    <t xml:space="preserve">attendance_percentage</t>
  </si>
  <si>
    <t xml:space="preserve">course_completion_percentage</t>
  </si>
  <si>
    <t xml:space="preserve">faculty_performance_rating</t>
  </si>
  <si>
    <t xml:space="preserve">training_hours</t>
  </si>
  <si>
    <t xml:space="preserve">promotion_eligibility</t>
  </si>
  <si>
    <t xml:space="preserve">user_query</t>
  </si>
  <si>
    <t xml:space="preserve">intent_type</t>
  </si>
  <si>
    <t xml:space="preserve">response_status</t>
  </si>
  <si>
    <t xml:space="preserve">data_source</t>
  </si>
  <si>
    <t xml:space="preserve">last_updated_time</t>
  </si>
  <si>
    <t xml:space="preserve">report_requested</t>
  </si>
  <si>
    <t xml:space="preserve">F001</t>
  </si>
  <si>
    <t xml:space="preserve">Faculty_1</t>
  </si>
  <si>
    <t xml:space="preserve">faculty1@college.edu</t>
  </si>
  <si>
    <t xml:space="preserve">9836534476</t>
  </si>
  <si>
    <t xml:space="preserve">Full-time</t>
  </si>
  <si>
    <t xml:space="preserve">MBA</t>
  </si>
  <si>
    <t xml:space="preserve">Marketing</t>
  </si>
  <si>
    <t xml:space="preserve">SUB159</t>
  </si>
  <si>
    <t xml:space="preserve">UG</t>
  </si>
  <si>
    <t xml:space="preserve">B</t>
  </si>
  <si>
    <t xml:space="preserve">Balanced</t>
  </si>
  <si>
    <t xml:space="preserve">Busy</t>
  </si>
  <si>
    <t xml:space="preserve">No</t>
  </si>
  <si>
    <t xml:space="preserve">Monday</t>
  </si>
  <si>
    <t xml:space="preserve">08:00:00</t>
  </si>
  <si>
    <t xml:space="preserve">10:00:00</t>
  </si>
  <si>
    <t xml:space="preserve">Lab1</t>
  </si>
  <si>
    <t xml:space="preserve">Online</t>
  </si>
  <si>
    <t xml:space="preserve">Yes</t>
  </si>
  <si>
    <t xml:space="preserve">Research Committee</t>
  </si>
  <si>
    <t xml:space="preserve">Eligible</t>
  </si>
  <si>
    <t xml:space="preserve">Show faculty workload</t>
  </si>
  <si>
    <t xml:space="preserve">Schedule</t>
  </si>
  <si>
    <t xml:space="preserve">Success</t>
  </si>
  <si>
    <t xml:space="preserve">Excel</t>
  </si>
  <si>
    <t xml:space="preserve">F002</t>
  </si>
  <si>
    <t xml:space="preserve">Faculty_2</t>
  </si>
  <si>
    <t xml:space="preserve">faculty2@college.edu</t>
  </si>
  <si>
    <t xml:space="preserve">9859370277</t>
  </si>
  <si>
    <t xml:space="preserve">Part-time</t>
  </si>
  <si>
    <t xml:space="preserve">PhD</t>
  </si>
  <si>
    <t xml:space="preserve">Data Analytics</t>
  </si>
  <si>
    <t xml:space="preserve">SUB433</t>
  </si>
  <si>
    <t xml:space="preserve">Certificate</t>
  </si>
  <si>
    <t xml:space="preserve">Friday</t>
  </si>
  <si>
    <t xml:space="preserve">12:00:00</t>
  </si>
  <si>
    <t xml:space="preserve">13:00:00</t>
  </si>
  <si>
    <t xml:space="preserve">Offline</t>
  </si>
  <si>
    <t xml:space="preserve">Not eligible</t>
  </si>
  <si>
    <t xml:space="preserve">Error</t>
  </si>
  <si>
    <t xml:space="preserve">F003</t>
  </si>
  <si>
    <t xml:space="preserve">Faculty_3</t>
  </si>
  <si>
    <t xml:space="preserve">faculty3@college.edu</t>
  </si>
  <si>
    <t xml:space="preserve">9889881451</t>
  </si>
  <si>
    <t xml:space="preserve">MCom</t>
  </si>
  <si>
    <t xml:space="preserve">SUB702</t>
  </si>
  <si>
    <t xml:space="preserve">A</t>
  </si>
  <si>
    <t xml:space="preserve">Available</t>
  </si>
  <si>
    <t xml:space="preserve">11:00:00</t>
  </si>
  <si>
    <t xml:space="preserve">R201</t>
  </si>
  <si>
    <t xml:space="preserve">Cultural Committee</t>
  </si>
  <si>
    <t xml:space="preserve">Database</t>
  </si>
  <si>
    <t xml:space="preserve">F004</t>
  </si>
  <si>
    <t xml:space="preserve">Faculty_4</t>
  </si>
  <si>
    <t xml:space="preserve">faculty4@college.edu</t>
  </si>
  <si>
    <t xml:space="preserve">9821121496</t>
  </si>
  <si>
    <t xml:space="preserve">SUB373</t>
  </si>
  <si>
    <t xml:space="preserve">C</t>
  </si>
  <si>
    <t xml:space="preserve">Tuesday</t>
  </si>
  <si>
    <t xml:space="preserve">15:00:00</t>
  </si>
  <si>
    <t xml:space="preserve">R102</t>
  </si>
  <si>
    <t xml:space="preserve">Faculty info</t>
  </si>
  <si>
    <t xml:space="preserve">F005</t>
  </si>
  <si>
    <t xml:space="preserve">Faculty_5</t>
  </si>
  <si>
    <t xml:space="preserve">faculty5@college.edu</t>
  </si>
  <si>
    <t xml:space="preserve">9827806690</t>
  </si>
  <si>
    <t xml:space="preserve">Business Statistics</t>
  </si>
  <si>
    <t xml:space="preserve">SUB448</t>
  </si>
  <si>
    <t xml:space="preserve">R101</t>
  </si>
  <si>
    <t xml:space="preserve">F006</t>
  </si>
  <si>
    <t xml:space="preserve">Faculty_6</t>
  </si>
  <si>
    <t xml:space="preserve">faculty6@college.edu</t>
  </si>
  <si>
    <t xml:space="preserve">9853077315</t>
  </si>
  <si>
    <t xml:space="preserve">Visiting</t>
  </si>
  <si>
    <t xml:space="preserve">Financial Management</t>
  </si>
  <si>
    <t xml:space="preserve">SUB265</t>
  </si>
  <si>
    <t xml:space="preserve">PG</t>
  </si>
  <si>
    <t xml:space="preserve">14:00:00</t>
  </si>
  <si>
    <t xml:space="preserve">NA</t>
  </si>
  <si>
    <t xml:space="preserve">F007</t>
  </si>
  <si>
    <t xml:space="preserve">Faculty_7</t>
  </si>
  <si>
    <t xml:space="preserve">faculty7@college.edu</t>
  </si>
  <si>
    <t xml:space="preserve">9837058088</t>
  </si>
  <si>
    <t xml:space="preserve">SUB967</t>
  </si>
  <si>
    <t xml:space="preserve">09:00:00</t>
  </si>
  <si>
    <t xml:space="preserve">F008</t>
  </si>
  <si>
    <t xml:space="preserve">Faculty_8</t>
  </si>
  <si>
    <t xml:space="preserve">faculty8@college.edu</t>
  </si>
  <si>
    <t xml:space="preserve">9890085921</t>
  </si>
  <si>
    <t xml:space="preserve">SUB726</t>
  </si>
  <si>
    <t xml:space="preserve">Wednesday</t>
  </si>
  <si>
    <t xml:space="preserve">F009</t>
  </si>
  <si>
    <t xml:space="preserve">Faculty_9</t>
  </si>
  <si>
    <t xml:space="preserve">faculty9@college.edu</t>
  </si>
  <si>
    <t xml:space="preserve">9877702039</t>
  </si>
  <si>
    <t xml:space="preserve">MSc</t>
  </si>
  <si>
    <t xml:space="preserve">SUB850</t>
  </si>
  <si>
    <t xml:space="preserve">F010</t>
  </si>
  <si>
    <t xml:space="preserve">Faculty_10</t>
  </si>
  <si>
    <t xml:space="preserve">faculty10@college.edu</t>
  </si>
  <si>
    <t xml:space="preserve">9869919520</t>
  </si>
  <si>
    <t xml:space="preserve">SUB946</t>
  </si>
  <si>
    <t xml:space="preserve">F011</t>
  </si>
  <si>
    <t xml:space="preserve">Faculty_11</t>
  </si>
  <si>
    <t xml:space="preserve">faculty11@college.edu</t>
  </si>
  <si>
    <t xml:space="preserve">9879710450</t>
  </si>
  <si>
    <t xml:space="preserve">SUB646</t>
  </si>
  <si>
    <t xml:space="preserve">F012</t>
  </si>
  <si>
    <t xml:space="preserve">Faculty_12</t>
  </si>
  <si>
    <t xml:space="preserve">faculty12@college.edu</t>
  </si>
  <si>
    <t xml:space="preserve">9859268165</t>
  </si>
  <si>
    <t xml:space="preserve">SUB923</t>
  </si>
  <si>
    <t xml:space="preserve">Exam Committee</t>
  </si>
  <si>
    <t xml:space="preserve">F013</t>
  </si>
  <si>
    <t xml:space="preserve">Faculty_13</t>
  </si>
  <si>
    <t xml:space="preserve">faculty13@college.edu</t>
  </si>
  <si>
    <t xml:space="preserve">9840497368</t>
  </si>
  <si>
    <t xml:space="preserve">Python Programming</t>
  </si>
  <si>
    <t xml:space="preserve">SUB195</t>
  </si>
  <si>
    <t xml:space="preserve">F014</t>
  </si>
  <si>
    <t xml:space="preserve">Faculty_14</t>
  </si>
  <si>
    <t xml:space="preserve">faculty14@college.edu</t>
  </si>
  <si>
    <t xml:space="preserve">9888288277</t>
  </si>
  <si>
    <t xml:space="preserve">SUB127</t>
  </si>
  <si>
    <t xml:space="preserve">Thursday</t>
  </si>
  <si>
    <t xml:space="preserve">Lab2</t>
  </si>
  <si>
    <t xml:space="preserve">F015</t>
  </si>
  <si>
    <t xml:space="preserve">Faculty_15</t>
  </si>
  <si>
    <t xml:space="preserve">faculty15@college.edu</t>
  </si>
  <si>
    <t xml:space="preserve">9874317874</t>
  </si>
  <si>
    <t xml:space="preserve">SUB591</t>
  </si>
  <si>
    <t xml:space="preserve">F016</t>
  </si>
  <si>
    <t xml:space="preserve">Faculty_16</t>
  </si>
  <si>
    <t xml:space="preserve">faculty16@college.edu</t>
  </si>
  <si>
    <t xml:space="preserve">9847638053</t>
  </si>
  <si>
    <t xml:space="preserve">SUB735</t>
  </si>
  <si>
    <t xml:space="preserve">F017</t>
  </si>
  <si>
    <t xml:space="preserve">Faculty_17</t>
  </si>
  <si>
    <t xml:space="preserve">faculty17@college.edu</t>
  </si>
  <si>
    <t xml:space="preserve">9865872335</t>
  </si>
  <si>
    <t xml:space="preserve">SUB651</t>
  </si>
  <si>
    <t xml:space="preserve">17:00:00</t>
  </si>
  <si>
    <t xml:space="preserve">F018</t>
  </si>
  <si>
    <t xml:space="preserve">Faculty_18</t>
  </si>
  <si>
    <t xml:space="preserve">faculty18@college.edu</t>
  </si>
  <si>
    <t xml:space="preserve">9842147100</t>
  </si>
  <si>
    <t xml:space="preserve">SUB621</t>
  </si>
  <si>
    <t xml:space="preserve">F019</t>
  </si>
  <si>
    <t xml:space="preserve">Faculty_19</t>
  </si>
  <si>
    <t xml:space="preserve">faculty19@college.edu</t>
  </si>
  <si>
    <t xml:space="preserve">9897985120</t>
  </si>
  <si>
    <t xml:space="preserve">SUB583</t>
  </si>
  <si>
    <t xml:space="preserve">F020</t>
  </si>
  <si>
    <t xml:space="preserve">Faculty_20</t>
  </si>
  <si>
    <t xml:space="preserve">faculty20@college.edu</t>
  </si>
  <si>
    <t xml:space="preserve">9859183562</t>
  </si>
  <si>
    <t xml:space="preserve">SUB402</t>
  </si>
  <si>
    <t xml:space="preserve">F021</t>
  </si>
  <si>
    <t xml:space="preserve">Faculty_21</t>
  </si>
  <si>
    <t xml:space="preserve">faculty21@college.edu</t>
  </si>
  <si>
    <t xml:space="preserve">9812421816</t>
  </si>
  <si>
    <t xml:space="preserve">SUB590</t>
  </si>
  <si>
    <t xml:space="preserve">F022</t>
  </si>
  <si>
    <t xml:space="preserve">Faculty_22</t>
  </si>
  <si>
    <t xml:space="preserve">faculty22@college.edu</t>
  </si>
  <si>
    <t xml:space="preserve">9833875899</t>
  </si>
  <si>
    <t xml:space="preserve">SUB106</t>
  </si>
  <si>
    <t xml:space="preserve">F023</t>
  </si>
  <si>
    <t xml:space="preserve">Faculty_23</t>
  </si>
  <si>
    <t xml:space="preserve">faculty23@college.edu</t>
  </si>
  <si>
    <t xml:space="preserve">9889743291</t>
  </si>
  <si>
    <t xml:space="preserve">SUB102</t>
  </si>
  <si>
    <t xml:space="preserve">F024</t>
  </si>
  <si>
    <t xml:space="preserve">Faculty_24</t>
  </si>
  <si>
    <t xml:space="preserve">faculty24@college.edu</t>
  </si>
  <si>
    <t xml:space="preserve">9868227928</t>
  </si>
  <si>
    <t xml:space="preserve">SUB631</t>
  </si>
  <si>
    <t xml:space="preserve">F025</t>
  </si>
  <si>
    <t xml:space="preserve">Faculty_25</t>
  </si>
  <si>
    <t xml:space="preserve">faculty25@college.edu</t>
  </si>
  <si>
    <t xml:space="preserve">9810348154</t>
  </si>
  <si>
    <t xml:space="preserve">SUB119</t>
  </si>
  <si>
    <t xml:space="preserve">16:00:00</t>
  </si>
  <si>
    <t xml:space="preserve">F026</t>
  </si>
  <si>
    <t xml:space="preserve">Faculty_26</t>
  </si>
  <si>
    <t xml:space="preserve">faculty26@college.edu</t>
  </si>
  <si>
    <t xml:space="preserve">9848635355</t>
  </si>
  <si>
    <t xml:space="preserve">SUB605</t>
  </si>
  <si>
    <t xml:space="preserve">F027</t>
  </si>
  <si>
    <t xml:space="preserve">Faculty_27</t>
  </si>
  <si>
    <t xml:space="preserve">faculty27@college.edu</t>
  </si>
  <si>
    <t xml:space="preserve">9868812350</t>
  </si>
  <si>
    <t xml:space="preserve">SUB427</t>
  </si>
  <si>
    <t xml:space="preserve">F028</t>
  </si>
  <si>
    <t xml:space="preserve">Faculty_28</t>
  </si>
  <si>
    <t xml:space="preserve">faculty28@college.edu</t>
  </si>
  <si>
    <t xml:space="preserve">9853182155</t>
  </si>
  <si>
    <t xml:space="preserve">SUB568</t>
  </si>
  <si>
    <t xml:space="preserve">F029</t>
  </si>
  <si>
    <t xml:space="preserve">Faculty_29</t>
  </si>
  <si>
    <t xml:space="preserve">faculty29@college.edu</t>
  </si>
  <si>
    <t xml:space="preserve">9812393126</t>
  </si>
  <si>
    <t xml:space="preserve">SUB231</t>
  </si>
  <si>
    <t xml:space="preserve">F030</t>
  </si>
  <si>
    <t xml:space="preserve">Faculty_30</t>
  </si>
  <si>
    <t xml:space="preserve">faculty30@college.edu</t>
  </si>
  <si>
    <t xml:space="preserve">9852910784</t>
  </si>
  <si>
    <t xml:space="preserve">F031</t>
  </si>
  <si>
    <t xml:space="preserve">Faculty_31</t>
  </si>
  <si>
    <t xml:space="preserve">faculty31@college.edu</t>
  </si>
  <si>
    <t xml:space="preserve">9884496998</t>
  </si>
  <si>
    <t xml:space="preserve">SUB601</t>
  </si>
  <si>
    <t xml:space="preserve">F032</t>
  </si>
  <si>
    <t xml:space="preserve">Faculty_32</t>
  </si>
  <si>
    <t xml:space="preserve">faculty32@college.edu</t>
  </si>
  <si>
    <t xml:space="preserve">9826748107</t>
  </si>
  <si>
    <t xml:space="preserve">SUB268</t>
  </si>
  <si>
    <t xml:space="preserve">F033</t>
  </si>
  <si>
    <t xml:space="preserve">Faculty_33</t>
  </si>
  <si>
    <t xml:space="preserve">faculty33@college.edu</t>
  </si>
  <si>
    <t xml:space="preserve">9874262501</t>
  </si>
  <si>
    <t xml:space="preserve">SUB928</t>
  </si>
  <si>
    <t xml:space="preserve">F034</t>
  </si>
  <si>
    <t xml:space="preserve">Faculty_34</t>
  </si>
  <si>
    <t xml:space="preserve">faculty34@college.edu</t>
  </si>
  <si>
    <t xml:space="preserve">9842474787</t>
  </si>
  <si>
    <t xml:space="preserve">F035</t>
  </si>
  <si>
    <t xml:space="preserve">Faculty_35</t>
  </si>
  <si>
    <t xml:space="preserve">faculty35@college.edu</t>
  </si>
  <si>
    <t xml:space="preserve">9874045781</t>
  </si>
  <si>
    <t xml:space="preserve">SUB480</t>
  </si>
  <si>
    <t xml:space="preserve">F036</t>
  </si>
  <si>
    <t xml:space="preserve">Faculty_36</t>
  </si>
  <si>
    <t xml:space="preserve">faculty36@college.edu</t>
  </si>
  <si>
    <t xml:space="preserve">9887163422</t>
  </si>
  <si>
    <t xml:space="preserve">SUB497</t>
  </si>
  <si>
    <t xml:space="preserve">F037</t>
  </si>
  <si>
    <t xml:space="preserve">Faculty_37</t>
  </si>
  <si>
    <t xml:space="preserve">faculty37@college.edu</t>
  </si>
  <si>
    <t xml:space="preserve">9825309151</t>
  </si>
  <si>
    <t xml:space="preserve">SUB916</t>
  </si>
  <si>
    <t xml:space="preserve">F038</t>
  </si>
  <si>
    <t xml:space="preserve">Faculty_38</t>
  </si>
  <si>
    <t xml:space="preserve">faculty38@college.edu</t>
  </si>
  <si>
    <t xml:space="preserve">9853199259</t>
  </si>
  <si>
    <t xml:space="preserve">SUB441</t>
  </si>
  <si>
    <t xml:space="preserve">F039</t>
  </si>
  <si>
    <t xml:space="preserve">Faculty_39</t>
  </si>
  <si>
    <t xml:space="preserve">faculty39@college.edu</t>
  </si>
  <si>
    <t xml:space="preserve">9848859591</t>
  </si>
  <si>
    <t xml:space="preserve">SUB895</t>
  </si>
  <si>
    <t xml:space="preserve">F040</t>
  </si>
  <si>
    <t xml:space="preserve">Faculty_40</t>
  </si>
  <si>
    <t xml:space="preserve">faculty40@college.edu</t>
  </si>
  <si>
    <t xml:space="preserve">9848511766</t>
  </si>
  <si>
    <t xml:space="preserve">SUB862</t>
  </si>
  <si>
    <t xml:space="preserve">F041</t>
  </si>
  <si>
    <t xml:space="preserve">Faculty_41</t>
  </si>
  <si>
    <t xml:space="preserve">faculty41@college.edu</t>
  </si>
  <si>
    <t xml:space="preserve">9823358122</t>
  </si>
  <si>
    <t xml:space="preserve">SUB202</t>
  </si>
  <si>
    <t xml:space="preserve">F042</t>
  </si>
  <si>
    <t xml:space="preserve">Faculty_42</t>
  </si>
  <si>
    <t xml:space="preserve">faculty42@college.edu</t>
  </si>
  <si>
    <t xml:space="preserve">9813994473</t>
  </si>
  <si>
    <t xml:space="preserve">SUB972</t>
  </si>
  <si>
    <t xml:space="preserve">F043</t>
  </si>
  <si>
    <t xml:space="preserve">Faculty_43</t>
  </si>
  <si>
    <t xml:space="preserve">faculty43@college.edu</t>
  </si>
  <si>
    <t xml:space="preserve">9873627520</t>
  </si>
  <si>
    <t xml:space="preserve">F044</t>
  </si>
  <si>
    <t xml:space="preserve">Faculty_44</t>
  </si>
  <si>
    <t xml:space="preserve">faculty44@college.edu</t>
  </si>
  <si>
    <t xml:space="preserve">9888689185</t>
  </si>
  <si>
    <t xml:space="preserve">SUB641</t>
  </si>
  <si>
    <t xml:space="preserve">F045</t>
  </si>
  <si>
    <t xml:space="preserve">Faculty_45</t>
  </si>
  <si>
    <t xml:space="preserve">faculty45@college.edu</t>
  </si>
  <si>
    <t xml:space="preserve">9872101306</t>
  </si>
  <si>
    <t xml:space="preserve">SUB177</t>
  </si>
  <si>
    <t xml:space="preserve">F046</t>
  </si>
  <si>
    <t xml:space="preserve">Faculty_46</t>
  </si>
  <si>
    <t xml:space="preserve">faculty46@college.edu</t>
  </si>
  <si>
    <t xml:space="preserve">9813284247</t>
  </si>
  <si>
    <t xml:space="preserve">SUB723</t>
  </si>
  <si>
    <t xml:space="preserve">F047</t>
  </si>
  <si>
    <t xml:space="preserve">Faculty_47</t>
  </si>
  <si>
    <t xml:space="preserve">faculty47@college.edu</t>
  </si>
  <si>
    <t xml:space="preserve">9898573769</t>
  </si>
  <si>
    <t xml:space="preserve">SUB751</t>
  </si>
  <si>
    <t xml:space="preserve">F048</t>
  </si>
  <si>
    <t xml:space="preserve">Faculty_48</t>
  </si>
  <si>
    <t xml:space="preserve">faculty48@college.edu</t>
  </si>
  <si>
    <t xml:space="preserve">9874617867</t>
  </si>
  <si>
    <t xml:space="preserve">SUB317</t>
  </si>
  <si>
    <t xml:space="preserve">F049</t>
  </si>
  <si>
    <t xml:space="preserve">Faculty_49</t>
  </si>
  <si>
    <t xml:space="preserve">faculty49@college.edu</t>
  </si>
  <si>
    <t xml:space="preserve">9816555568</t>
  </si>
  <si>
    <t xml:space="preserve">SUB795</t>
  </si>
  <si>
    <t xml:space="preserve">F050</t>
  </si>
  <si>
    <t xml:space="preserve">Faculty_50</t>
  </si>
  <si>
    <t xml:space="preserve">faculty50@college.edu</t>
  </si>
  <si>
    <t xml:space="preserve">9895929069</t>
  </si>
  <si>
    <t xml:space="preserve">SUB888</t>
  </si>
  <si>
    <t xml:space="preserve">F051</t>
  </si>
  <si>
    <t xml:space="preserve">Faculty_51</t>
  </si>
  <si>
    <t xml:space="preserve">faculty51@college.edu</t>
  </si>
  <si>
    <t xml:space="preserve">9820432933</t>
  </si>
  <si>
    <t xml:space="preserve">SUB715</t>
  </si>
  <si>
    <t xml:space="preserve">F052</t>
  </si>
  <si>
    <t xml:space="preserve">Faculty_52</t>
  </si>
  <si>
    <t xml:space="preserve">faculty52@college.edu</t>
  </si>
  <si>
    <t xml:space="preserve">9871610662</t>
  </si>
  <si>
    <t xml:space="preserve">SUB149</t>
  </si>
  <si>
    <t xml:space="preserve">F053</t>
  </si>
  <si>
    <t xml:space="preserve">Faculty_53</t>
  </si>
  <si>
    <t xml:space="preserve">faculty53@college.edu</t>
  </si>
  <si>
    <t xml:space="preserve">9822070358</t>
  </si>
  <si>
    <t xml:space="preserve">SUB223</t>
  </si>
  <si>
    <t xml:space="preserve">F054</t>
  </si>
  <si>
    <t xml:space="preserve">Faculty_54</t>
  </si>
  <si>
    <t xml:space="preserve">faculty54@college.edu</t>
  </si>
  <si>
    <t xml:space="preserve">9842895867</t>
  </si>
  <si>
    <t xml:space="preserve">SUB520</t>
  </si>
  <si>
    <t xml:space="preserve">F055</t>
  </si>
  <si>
    <t xml:space="preserve">Faculty_55</t>
  </si>
  <si>
    <t xml:space="preserve">faculty55@college.edu</t>
  </si>
  <si>
    <t xml:space="preserve">9866758506</t>
  </si>
  <si>
    <t xml:space="preserve">SUB181</t>
  </si>
  <si>
    <t xml:space="preserve">F056</t>
  </si>
  <si>
    <t xml:space="preserve">Faculty_56</t>
  </si>
  <si>
    <t xml:space="preserve">faculty56@college.edu</t>
  </si>
  <si>
    <t xml:space="preserve">9830738779</t>
  </si>
  <si>
    <t xml:space="preserve">SUB421</t>
  </si>
  <si>
    <t xml:space="preserve">F057</t>
  </si>
  <si>
    <t xml:space="preserve">Faculty_57</t>
  </si>
  <si>
    <t xml:space="preserve">faculty57@college.edu</t>
  </si>
  <si>
    <t xml:space="preserve">9893747244</t>
  </si>
  <si>
    <t xml:space="preserve">SUB563</t>
  </si>
  <si>
    <t xml:space="preserve">F058</t>
  </si>
  <si>
    <t xml:space="preserve">Faculty_58</t>
  </si>
  <si>
    <t xml:space="preserve">faculty58@college.edu</t>
  </si>
  <si>
    <t xml:space="preserve">9897371176</t>
  </si>
  <si>
    <t xml:space="preserve">SUB721</t>
  </si>
  <si>
    <t xml:space="preserve">F059</t>
  </si>
  <si>
    <t xml:space="preserve">Faculty_59</t>
  </si>
  <si>
    <t xml:space="preserve">faculty59@college.edu</t>
  </si>
  <si>
    <t xml:space="preserve">9870000166</t>
  </si>
  <si>
    <t xml:space="preserve">SUB228</t>
  </si>
  <si>
    <t xml:space="preserve">F060</t>
  </si>
  <si>
    <t xml:space="preserve">Faculty_60</t>
  </si>
  <si>
    <t xml:space="preserve">faculty60@college.edu</t>
  </si>
  <si>
    <t xml:space="preserve">9848994565</t>
  </si>
  <si>
    <t xml:space="preserve">SUB210</t>
  </si>
  <si>
    <t xml:space="preserve">F061</t>
  </si>
  <si>
    <t xml:space="preserve">Faculty_61</t>
  </si>
  <si>
    <t xml:space="preserve">faculty61@college.edu</t>
  </si>
  <si>
    <t xml:space="preserve">9886640054</t>
  </si>
  <si>
    <t xml:space="preserve">SUB748</t>
  </si>
  <si>
    <t xml:space="preserve">F062</t>
  </si>
  <si>
    <t xml:space="preserve">Faculty_62</t>
  </si>
  <si>
    <t xml:space="preserve">faculty62@college.edu</t>
  </si>
  <si>
    <t xml:space="preserve">9847339884</t>
  </si>
  <si>
    <t xml:space="preserve">SUB971</t>
  </si>
  <si>
    <t xml:space="preserve">F063</t>
  </si>
  <si>
    <t xml:space="preserve">Faculty_63</t>
  </si>
  <si>
    <t xml:space="preserve">faculty63@college.edu</t>
  </si>
  <si>
    <t xml:space="preserve">9889311589</t>
  </si>
  <si>
    <t xml:space="preserve">SUB677</t>
  </si>
  <si>
    <t xml:space="preserve">F064</t>
  </si>
  <si>
    <t xml:space="preserve">Faculty_64</t>
  </si>
  <si>
    <t xml:space="preserve">faculty64@college.edu</t>
  </si>
  <si>
    <t xml:space="preserve">9894298479</t>
  </si>
  <si>
    <t xml:space="preserve">SUB258</t>
  </si>
  <si>
    <t xml:space="preserve">F065</t>
  </si>
  <si>
    <t xml:space="preserve">Faculty_65</t>
  </si>
  <si>
    <t xml:space="preserve">faculty65@college.edu</t>
  </si>
  <si>
    <t xml:space="preserve">9846197322</t>
  </si>
  <si>
    <t xml:space="preserve">SUB137</t>
  </si>
  <si>
    <t xml:space="preserve">F066</t>
  </si>
  <si>
    <t xml:space="preserve">Faculty_66</t>
  </si>
  <si>
    <t xml:space="preserve">faculty66@college.edu</t>
  </si>
  <si>
    <t xml:space="preserve">9823843816</t>
  </si>
  <si>
    <t xml:space="preserve">SUB576</t>
  </si>
  <si>
    <t xml:space="preserve">F067</t>
  </si>
  <si>
    <t xml:space="preserve">Faculty_67</t>
  </si>
  <si>
    <t xml:space="preserve">faculty67@college.edu</t>
  </si>
  <si>
    <t xml:space="preserve">9887300706</t>
  </si>
  <si>
    <t xml:space="preserve">SUB919</t>
  </si>
  <si>
    <t xml:space="preserve">F068</t>
  </si>
  <si>
    <t xml:space="preserve">Faculty_68</t>
  </si>
  <si>
    <t xml:space="preserve">faculty68@college.edu</t>
  </si>
  <si>
    <t xml:space="preserve">9899545257</t>
  </si>
  <si>
    <t xml:space="preserve">SUB294</t>
  </si>
  <si>
    <t xml:space="preserve">F069</t>
  </si>
  <si>
    <t xml:space="preserve">Faculty_69</t>
  </si>
  <si>
    <t xml:space="preserve">faculty69@college.edu</t>
  </si>
  <si>
    <t xml:space="preserve">9871555515</t>
  </si>
  <si>
    <t xml:space="preserve">SUB755</t>
  </si>
  <si>
    <t xml:space="preserve">F070</t>
  </si>
  <si>
    <t xml:space="preserve">Faculty_70</t>
  </si>
  <si>
    <t xml:space="preserve">faculty70@college.edu</t>
  </si>
  <si>
    <t xml:space="preserve">9834107928</t>
  </si>
  <si>
    <t xml:space="preserve">SUB791</t>
  </si>
  <si>
    <t xml:space="preserve">F071</t>
  </si>
  <si>
    <t xml:space="preserve">Faculty_71</t>
  </si>
  <si>
    <t xml:space="preserve">faculty71@college.edu</t>
  </si>
  <si>
    <t xml:space="preserve">9874809652</t>
  </si>
  <si>
    <t xml:space="preserve">SUB466</t>
  </si>
  <si>
    <t xml:space="preserve">F072</t>
  </si>
  <si>
    <t xml:space="preserve">Faculty_72</t>
  </si>
  <si>
    <t xml:space="preserve">faculty72@college.edu</t>
  </si>
  <si>
    <t xml:space="preserve">9849944914</t>
  </si>
  <si>
    <t xml:space="preserve">SUB504</t>
  </si>
  <si>
    <t xml:space="preserve">F073</t>
  </si>
  <si>
    <t xml:space="preserve">Faculty_73</t>
  </si>
  <si>
    <t xml:space="preserve">faculty73@college.edu</t>
  </si>
  <si>
    <t xml:space="preserve">9836846465</t>
  </si>
  <si>
    <t xml:space="preserve">SUB378</t>
  </si>
  <si>
    <t xml:space="preserve">F074</t>
  </si>
  <si>
    <t xml:space="preserve">Faculty_74</t>
  </si>
  <si>
    <t xml:space="preserve">faculty74@college.edu</t>
  </si>
  <si>
    <t xml:space="preserve">9832614711</t>
  </si>
  <si>
    <t xml:space="preserve">SUB745</t>
  </si>
  <si>
    <t xml:space="preserve">F075</t>
  </si>
  <si>
    <t xml:space="preserve">Faculty_75</t>
  </si>
  <si>
    <t xml:space="preserve">faculty75@college.edu</t>
  </si>
  <si>
    <t xml:space="preserve">9815913122</t>
  </si>
  <si>
    <t xml:space="preserve">SUB477</t>
  </si>
  <si>
    <t xml:space="preserve">F076</t>
  </si>
  <si>
    <t xml:space="preserve">Faculty_76</t>
  </si>
  <si>
    <t xml:space="preserve">faculty76@college.edu</t>
  </si>
  <si>
    <t xml:space="preserve">9868462475</t>
  </si>
  <si>
    <t xml:space="preserve">F077</t>
  </si>
  <si>
    <t xml:space="preserve">Faculty_77</t>
  </si>
  <si>
    <t xml:space="preserve">faculty77@college.edu</t>
  </si>
  <si>
    <t xml:space="preserve">9885705775</t>
  </si>
  <si>
    <t xml:space="preserve">SUB436</t>
  </si>
  <si>
    <t xml:space="preserve">F078</t>
  </si>
  <si>
    <t xml:space="preserve">Faculty_78</t>
  </si>
  <si>
    <t xml:space="preserve">faculty78@college.edu</t>
  </si>
  <si>
    <t xml:space="preserve">9873940845</t>
  </si>
  <si>
    <t xml:space="preserve">SUB269</t>
  </si>
  <si>
    <t xml:space="preserve">F079</t>
  </si>
  <si>
    <t xml:space="preserve">Faculty_79</t>
  </si>
  <si>
    <t xml:space="preserve">faculty79@college.edu</t>
  </si>
  <si>
    <t xml:space="preserve">9863630935</t>
  </si>
  <si>
    <t xml:space="preserve">SUB968</t>
  </si>
  <si>
    <t xml:space="preserve">F080</t>
  </si>
  <si>
    <t xml:space="preserve">Faculty_80</t>
  </si>
  <si>
    <t xml:space="preserve">faculty80@college.edu</t>
  </si>
  <si>
    <t xml:space="preserve">9831251574</t>
  </si>
  <si>
    <t xml:space="preserve">SUB101</t>
  </si>
  <si>
    <t xml:space="preserve">F081</t>
  </si>
  <si>
    <t xml:space="preserve">Faculty_81</t>
  </si>
  <si>
    <t xml:space="preserve">faculty81@college.edu</t>
  </si>
  <si>
    <t xml:space="preserve">9889301564</t>
  </si>
  <si>
    <t xml:space="preserve">SUB630</t>
  </si>
  <si>
    <t xml:space="preserve">F082</t>
  </si>
  <si>
    <t xml:space="preserve">Faculty_82</t>
  </si>
  <si>
    <t xml:space="preserve">faculty82@college.edu</t>
  </si>
  <si>
    <t xml:space="preserve">9858257886</t>
  </si>
  <si>
    <t xml:space="preserve">F083</t>
  </si>
  <si>
    <t xml:space="preserve">Faculty_83</t>
  </si>
  <si>
    <t xml:space="preserve">faculty83@college.edu</t>
  </si>
  <si>
    <t xml:space="preserve">9826468388</t>
  </si>
  <si>
    <t xml:space="preserve">SUB835</t>
  </si>
  <si>
    <t xml:space="preserve">F084</t>
  </si>
  <si>
    <t xml:space="preserve">Faculty_84</t>
  </si>
  <si>
    <t xml:space="preserve">faculty84@college.edu</t>
  </si>
  <si>
    <t xml:space="preserve">9826166303</t>
  </si>
  <si>
    <t xml:space="preserve">SUB541</t>
  </si>
  <si>
    <t xml:space="preserve">F085</t>
  </si>
  <si>
    <t xml:space="preserve">Faculty_85</t>
  </si>
  <si>
    <t xml:space="preserve">faculty85@college.edu</t>
  </si>
  <si>
    <t xml:space="preserve">9813635656</t>
  </si>
  <si>
    <t xml:space="preserve">SUB444</t>
  </si>
  <si>
    <t xml:space="preserve">F086</t>
  </si>
  <si>
    <t xml:space="preserve">Faculty_86</t>
  </si>
  <si>
    <t xml:space="preserve">faculty86@college.edu</t>
  </si>
  <si>
    <t xml:space="preserve">9860201402</t>
  </si>
  <si>
    <t xml:space="preserve">SUB926</t>
  </si>
  <si>
    <t xml:space="preserve">F087</t>
  </si>
  <si>
    <t xml:space="preserve">Faculty_87</t>
  </si>
  <si>
    <t xml:space="preserve">faculty87@college.edu</t>
  </si>
  <si>
    <t xml:space="preserve">9888837522</t>
  </si>
  <si>
    <t xml:space="preserve">SUB160</t>
  </si>
  <si>
    <t xml:space="preserve">F088</t>
  </si>
  <si>
    <t xml:space="preserve">Faculty_88</t>
  </si>
  <si>
    <t xml:space="preserve">faculty88@college.edu</t>
  </si>
  <si>
    <t xml:space="preserve">9815771660</t>
  </si>
  <si>
    <t xml:space="preserve">SUB344</t>
  </si>
  <si>
    <t xml:space="preserve">F089</t>
  </si>
  <si>
    <t xml:space="preserve">Faculty_89</t>
  </si>
  <si>
    <t xml:space="preserve">faculty89@college.edu</t>
  </si>
  <si>
    <t xml:space="preserve">9827083712</t>
  </si>
  <si>
    <t xml:space="preserve">SUB792</t>
  </si>
  <si>
    <t xml:space="preserve">F090</t>
  </si>
  <si>
    <t xml:space="preserve">Faculty_90</t>
  </si>
  <si>
    <t xml:space="preserve">faculty90@college.edu</t>
  </si>
  <si>
    <t xml:space="preserve">9852483817</t>
  </si>
  <si>
    <t xml:space="preserve">SUB330</t>
  </si>
  <si>
    <t xml:space="preserve">F091</t>
  </si>
  <si>
    <t xml:space="preserve">Faculty_91</t>
  </si>
  <si>
    <t xml:space="preserve">faculty91@college.edu</t>
  </si>
  <si>
    <t xml:space="preserve">9875680341</t>
  </si>
  <si>
    <t xml:space="preserve">SUB523</t>
  </si>
  <si>
    <t xml:space="preserve">F092</t>
  </si>
  <si>
    <t xml:space="preserve">Faculty_92</t>
  </si>
  <si>
    <t xml:space="preserve">faculty92@college.edu</t>
  </si>
  <si>
    <t xml:space="preserve">9892985000</t>
  </si>
  <si>
    <t xml:space="preserve">SUB749</t>
  </si>
  <si>
    <t xml:space="preserve">F093</t>
  </si>
  <si>
    <t xml:space="preserve">Faculty_93</t>
  </si>
  <si>
    <t xml:space="preserve">faculty93@college.edu</t>
  </si>
  <si>
    <t xml:space="preserve">9812331095</t>
  </si>
  <si>
    <t xml:space="preserve">SUB815</t>
  </si>
  <si>
    <t xml:space="preserve">F094</t>
  </si>
  <si>
    <t xml:space="preserve">Faculty_94</t>
  </si>
  <si>
    <t xml:space="preserve">faculty94@college.edu</t>
  </si>
  <si>
    <t xml:space="preserve">9820679949</t>
  </si>
  <si>
    <t xml:space="preserve">SUB107</t>
  </si>
  <si>
    <t xml:space="preserve">F095</t>
  </si>
  <si>
    <t xml:space="preserve">Faculty_95</t>
  </si>
  <si>
    <t xml:space="preserve">faculty95@college.edu</t>
  </si>
  <si>
    <t xml:space="preserve">9899939169</t>
  </si>
  <si>
    <t xml:space="preserve">F096</t>
  </si>
  <si>
    <t xml:space="preserve">Faculty_96</t>
  </si>
  <si>
    <t xml:space="preserve">faculty96@college.edu</t>
  </si>
  <si>
    <t xml:space="preserve">9817113212</t>
  </si>
  <si>
    <t xml:space="preserve">SUB158</t>
  </si>
  <si>
    <t xml:space="preserve">F097</t>
  </si>
  <si>
    <t xml:space="preserve">Faculty_97</t>
  </si>
  <si>
    <t xml:space="preserve">faculty97@college.edu</t>
  </si>
  <si>
    <t xml:space="preserve">9814515755</t>
  </si>
  <si>
    <t xml:space="preserve">SUB574</t>
  </si>
  <si>
    <t xml:space="preserve">F098</t>
  </si>
  <si>
    <t xml:space="preserve">Faculty_98</t>
  </si>
  <si>
    <t xml:space="preserve">faculty98@college.edu</t>
  </si>
  <si>
    <t xml:space="preserve">9853308759</t>
  </si>
  <si>
    <t xml:space="preserve">SUB632</t>
  </si>
  <si>
    <t xml:space="preserve">F099</t>
  </si>
  <si>
    <t xml:space="preserve">Faculty_99</t>
  </si>
  <si>
    <t xml:space="preserve">faculty99@college.edu</t>
  </si>
  <si>
    <t xml:space="preserve">9831965370</t>
  </si>
  <si>
    <t xml:space="preserve">SUB987</t>
  </si>
  <si>
    <t xml:space="preserve">F100</t>
  </si>
  <si>
    <t xml:space="preserve">Faculty_100</t>
  </si>
  <si>
    <t xml:space="preserve">faculty100@college.edu</t>
  </si>
  <si>
    <t xml:space="preserve">9820815761</t>
  </si>
  <si>
    <t xml:space="preserve">SUB170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</si>
</sst>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yyyy\-mm\-dd\ hh:mm:ss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1F1F"/>
      <name val="Cambria"/>
      <family val="0"/>
      <charset val="1"/>
    </font>
    <font>
      <sz val="9"/>
      <color rgb="FF666666"/>
      <name val="Cambria"/>
      <family val="0"/>
      <charset val="1"/>
    </font>
    <font>
      <b val="true"/>
      <sz val="10"/>
      <color rgb="FF5B5B5B"/>
      <name val="Cambria"/>
      <family val="0"/>
      <charset val="1"/>
    </font>
    <font>
      <b val="true"/>
      <sz val="11"/>
      <color rgb="FF1F1F1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name val="Cambria"/>
      <family val="0"/>
      <charset val="1"/>
    </font>
    <font>
      <b val="true"/>
      <sz val="16"/>
      <color rgb="FF1F1F1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800080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D9F0F0"/>
        <bgColor rgb="FFD9EAF7"/>
      </patternFill>
    </fill>
    <fill>
      <patternFill patternType="solid">
        <fgColor rgb="FFD9EAF7"/>
        <bgColor rgb="FFD9F0F0"/>
      </patternFill>
    </fill>
    <fill>
      <patternFill patternType="solid">
        <fgColor rgb="FFE2F0D9"/>
        <bgColor rgb="FFD9F0F0"/>
      </patternFill>
    </fill>
    <fill>
      <patternFill patternType="solid">
        <fgColor rgb="FFFFF2CC"/>
        <bgColor rgb="FFFDE9E7"/>
      </patternFill>
    </fill>
    <fill>
      <patternFill patternType="solid">
        <fgColor rgb="FFFCE4D6"/>
        <bgColor rgb="FFFDE9E7"/>
      </patternFill>
    </fill>
    <fill>
      <patternFill patternType="solid">
        <fgColor rgb="FFFDE9E7"/>
        <bgColor rgb="FFFCE4D6"/>
      </patternFill>
    </fill>
    <fill>
      <patternFill patternType="solid">
        <fgColor rgb="FF1F4E78"/>
        <bgColor rgb="FF003366"/>
      </patternFill>
    </fill>
    <fill>
      <patternFill patternType="solid">
        <fgColor rgb="FFE4DFEC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5BF7C"/>
          <bgColor rgb="FF000000"/>
        </patternFill>
      </fill>
    </dxf>
    <dxf>
      <fill>
        <patternFill patternType="solid">
          <fgColor rgb="FF6AC07C"/>
          <bgColor rgb="FF000000"/>
        </patternFill>
      </fill>
    </dxf>
    <dxf>
      <fill>
        <patternFill patternType="solid">
          <fgColor rgb="FF6BC17C"/>
          <bgColor rgb="FF000000"/>
        </patternFill>
      </fill>
    </dxf>
    <dxf>
      <fill>
        <patternFill patternType="solid">
          <fgColor rgb="FF6DC17C"/>
          <bgColor rgb="FF000000"/>
        </patternFill>
      </fill>
    </dxf>
    <dxf>
      <fill>
        <patternFill patternType="solid">
          <fgColor rgb="FF70C27C"/>
          <bgColor rgb="FF000000"/>
        </patternFill>
      </fill>
    </dxf>
    <dxf>
      <fill>
        <patternFill patternType="solid">
          <fgColor rgb="FF76C47D"/>
          <bgColor rgb="FF000000"/>
        </patternFill>
      </fill>
    </dxf>
    <dxf>
      <fill>
        <patternFill patternType="solid">
          <fgColor rgb="FF78C47D"/>
          <bgColor rgb="FF000000"/>
        </patternFill>
      </fill>
    </dxf>
    <dxf>
      <fill>
        <patternFill patternType="solid">
          <fgColor rgb="FF7BC57D"/>
          <bgColor rgb="FF000000"/>
        </patternFill>
      </fill>
    </dxf>
    <dxf>
      <fill>
        <patternFill patternType="solid">
          <fgColor rgb="FF7EC67D"/>
          <bgColor rgb="FF000000"/>
        </patternFill>
      </fill>
    </dxf>
    <dxf>
      <fill>
        <patternFill patternType="solid">
          <fgColor rgb="FF81C77D"/>
          <bgColor rgb="FF000000"/>
        </patternFill>
      </fill>
    </dxf>
    <dxf>
      <fill>
        <patternFill patternType="solid">
          <fgColor rgb="FF8FCB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CCF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B0D580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6DB81"/>
          <bgColor rgb="FF000000"/>
        </patternFill>
      </fill>
    </dxf>
    <dxf>
      <fill>
        <patternFill patternType="solid">
          <fgColor rgb="FFC9DC81"/>
          <bgColor rgb="FF000000"/>
        </patternFill>
      </fill>
    </dxf>
    <dxf>
      <fill>
        <patternFill patternType="solid">
          <fgColor rgb="FFCFDE82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5DF82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5E8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86A6B"/>
          <bgColor rgb="FF000000"/>
        </patternFill>
      </fill>
    </dxf>
    <dxf>
      <fill>
        <patternFill patternType="solid">
          <fgColor rgb="FFF86E6C"/>
          <bgColor rgb="FF000000"/>
        </patternFill>
      </fill>
    </dxf>
    <dxf>
      <fill>
        <patternFill patternType="solid">
          <fgColor rgb="FFF86F6C"/>
          <bgColor rgb="FF000000"/>
        </patternFill>
      </fill>
    </dxf>
    <dxf>
      <fill>
        <patternFill patternType="solid">
          <fgColor rgb="FFF8786E"/>
          <bgColor rgb="FF000000"/>
        </patternFill>
      </fill>
    </dxf>
    <dxf>
      <fill>
        <patternFill patternType="solid">
          <fgColor rgb="FFF8796E"/>
          <bgColor rgb="FF000000"/>
        </patternFill>
      </fill>
    </dxf>
    <dxf>
      <fill>
        <patternFill patternType="solid">
          <fgColor rgb="FFF97F6F"/>
          <bgColor rgb="FF000000"/>
        </patternFill>
      </fill>
    </dxf>
    <dxf>
      <fill>
        <patternFill patternType="solid">
          <fgColor rgb="FFF9806F"/>
          <bgColor rgb="FF000000"/>
        </patternFill>
      </fill>
    </dxf>
    <dxf>
      <fill>
        <patternFill patternType="solid">
          <fgColor rgb="FFF98670"/>
          <bgColor rgb="FF000000"/>
        </patternFill>
      </fill>
    </dxf>
    <dxf>
      <fill>
        <patternFill patternType="solid">
          <fgColor rgb="FFF98871"/>
          <bgColor rgb="FF000000"/>
        </patternFill>
      </fill>
    </dxf>
    <dxf>
      <fill>
        <patternFill patternType="solid">
          <fgColor rgb="FFF98D71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9172"/>
          <bgColor rgb="FF000000"/>
        </patternFill>
      </fill>
    </dxf>
    <dxf>
      <fill>
        <patternFill patternType="solid">
          <fgColor rgb="FFFA9272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A9974"/>
          <bgColor rgb="FF000000"/>
        </patternFill>
      </fill>
    </dxf>
    <dxf>
      <fill>
        <patternFill patternType="solid">
          <fgColor rgb="FFFBA075"/>
          <bgColor rgb="FF000000"/>
        </patternFill>
      </fill>
    </dxf>
    <dxf>
      <fill>
        <patternFill patternType="solid">
          <fgColor rgb="FFFBB179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A7A"/>
          <bgColor rgb="FF000000"/>
        </patternFill>
      </fill>
    </dxf>
    <dxf>
      <fill>
        <patternFill patternType="solid">
          <fgColor rgb="FFFCBC7B"/>
          <bgColor rgb="FF000000"/>
        </patternFill>
      </fill>
    </dxf>
    <dxf>
      <fill>
        <patternFill patternType="solid">
          <fgColor rgb="FFFCC57C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DCF7E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D67F"/>
          <bgColor rgb="FF000000"/>
        </patternFill>
      </fill>
    </dxf>
    <dxf>
      <fill>
        <patternFill patternType="solid">
          <fgColor rgb="FFFEDB80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6EC27C"/>
          <bgColor rgb="FF000000"/>
        </patternFill>
      </fill>
    </dxf>
    <dxf>
      <fill>
        <patternFill patternType="solid">
          <fgColor rgb="FF7CC67D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A0D07F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DAE182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BA275"/>
          <bgColor rgb="FF000000"/>
        </patternFill>
      </fill>
    </dxf>
    <dxf>
      <fill>
        <patternFill patternType="solid">
          <fgColor rgb="FFFBA877"/>
          <bgColor rgb="FF000000"/>
        </patternFill>
      </fill>
    </dxf>
    <dxf>
      <fill>
        <patternFill patternType="solid">
          <fgColor rgb="FFFBAC78"/>
          <bgColor rgb="FF000000"/>
        </patternFill>
      </fill>
    </dxf>
    <dxf>
      <fill>
        <patternFill patternType="solid">
          <fgColor rgb="FFFBAF78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FBB379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D47F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FEE7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DE9E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DE9E7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E4DFEC"/>
      <rgbColor rgb="FF878787"/>
      <rgbColor rgb="FF9999FF"/>
      <rgbColor rgb="FFC0504D"/>
      <rgbColor rgb="FFFFF2CC"/>
      <rgbColor rgb="FFD9F0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E2F0D9"/>
      <rgbColor rgb="FFFDE9E7"/>
      <rgbColor rgb="FFF9F9F9"/>
      <rgbColor rgb="FFFF99CC"/>
      <rgbColor rgb="FFCC99FF"/>
      <rgbColor rgb="FFFCE4D6"/>
      <rgbColor rgb="FF4F81BD"/>
      <rgbColor rgb="FF33CCCC"/>
      <rgbColor rgb="FF98B855"/>
      <rgbColor rgb="FFFFCC00"/>
      <rgbColor rgb="FFFF9900"/>
      <rgbColor rgb="FFFF6600"/>
      <rgbColor rgb="FF8064A2"/>
      <rgbColor rgb="FF9BBB59"/>
      <rgbColor rgb="FF003366"/>
      <rgbColor rgb="FF339966"/>
      <rgbColor rgb="FF003300"/>
      <rgbColor rgb="FF333300"/>
      <rgbColor rgb="FF993300"/>
      <rgbColor rgb="FF5B5B5B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Feedback Score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Chart_Data!B3</c:f>
              <c:strCache>
                <c:ptCount val="1"/>
                <c:pt idx="0">
                  <c:v>Faculty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</c:dLbls>
          <c:cat>
            <c:strRef>
              <c:f>Chart_Data!$A$4:$A$7</c:f>
              <c:strCache>
                <c:ptCount val="4"/>
                <c:pt idx="0">
                  <c:v>Critical</c:v>
                </c:pt>
                <c:pt idx="1">
                  <c:v>Needs Support</c:v>
                </c:pt>
                <c:pt idx="2">
                  <c:v>Good</c:v>
                </c:pt>
                <c:pt idx="3">
                  <c:v>Excellent</c:v>
                </c:pt>
              </c:strCache>
            </c:strRef>
          </c:cat>
          <c:val>
            <c:numRef>
              <c:f>Chart_Data!$B$4:$B$7</c:f>
              <c:numCache>
                <c:formatCode>General</c:formatCode>
                <c:ptCount val="4"/>
                <c:pt idx="0">
                  <c:v>22</c:v>
                </c:pt>
                <c:pt idx="1">
                  <c:v>25</c:v>
                </c:pt>
                <c:pt idx="2">
                  <c:v>32</c:v>
                </c:pt>
                <c:pt idx="3">
                  <c:v>21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Average Feedback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Chart_Data!E3</c:f>
              <c:strCache>
                <c:ptCount val="1"/>
                <c:pt idx="0">
                  <c:v>Avg Feedback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Chart_Data!$D$4:$D$8</c:f>
              <c:strCache>
                <c:ptCount val="5"/>
                <c:pt idx="0">
                  <c:v>Economics</c:v>
                </c:pt>
                <c:pt idx="1">
                  <c:v>Commerce</c:v>
                </c:pt>
                <c:pt idx="2">
                  <c:v>Mathematics</c:v>
                </c:pt>
                <c:pt idx="3">
                  <c:v>Management</c:v>
                </c:pt>
                <c:pt idx="4">
                  <c:v>Computer Science</c:v>
                </c:pt>
              </c:strCache>
            </c:strRef>
          </c:cat>
          <c:val>
            <c:numRef>
              <c:f>Chart_Data!$E$4:$E$8</c:f>
              <c:numCache>
                <c:formatCode>0.00</c:formatCode>
                <c:ptCount val="5"/>
                <c:pt idx="0">
                  <c:v>4.255</c:v>
                </c:pt>
                <c:pt idx="1">
                  <c:v>4.08916666666667</c:v>
                </c:pt>
                <c:pt idx="2">
                  <c:v>4.01105263157895</c:v>
                </c:pt>
                <c:pt idx="3">
                  <c:v>3.89833333333333</c:v>
                </c:pt>
                <c:pt idx="4">
                  <c:v>3.78823529411765</c:v>
                </c:pt>
              </c:numCache>
            </c:numRef>
          </c:val>
        </c:ser>
        <c:gapWidth val="150"/>
        <c:overlap val="0"/>
        <c:axId val="54737289"/>
        <c:axId val="35298073"/>
      </c:barChart>
      <c:catAx>
        <c:axId val="5473728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298073"/>
        <c:crosses val="autoZero"/>
        <c:auto val="1"/>
        <c:lblAlgn val="ctr"/>
        <c:lblOffset val="100"/>
        <c:noMultiLvlLbl val="0"/>
      </c:catAx>
      <c:valAx>
        <c:axId val="352980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Feedback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7372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Average Feedback by Designation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Chart_Data!H3</c:f>
              <c:strCache>
                <c:ptCount val="1"/>
                <c:pt idx="0">
                  <c:v>Avg Feedback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Chart_Data!$G$4:$G$6</c:f>
              <c:strCache>
                <c:ptCount val="3"/>
                <c:pt idx="0">
                  <c:v>Assistant Professor</c:v>
                </c:pt>
                <c:pt idx="1">
                  <c:v>Professor</c:v>
                </c:pt>
                <c:pt idx="2">
                  <c:v>Lecturer</c:v>
                </c:pt>
              </c:strCache>
            </c:strRef>
          </c:cat>
          <c:val>
            <c:numRef>
              <c:f>Chart_Data!$H$4:$H$6</c:f>
              <c:numCache>
                <c:formatCode>0.00</c:formatCode>
                <c:ptCount val="3"/>
                <c:pt idx="0">
                  <c:v>4.08685714285714</c:v>
                </c:pt>
                <c:pt idx="1">
                  <c:v>3.99454545454545</c:v>
                </c:pt>
                <c:pt idx="2">
                  <c:v>3.9896875</c:v>
                </c:pt>
              </c:numCache>
            </c:numRef>
          </c:val>
        </c:ser>
        <c:gapWidth val="150"/>
        <c:overlap val="0"/>
        <c:axId val="92779866"/>
        <c:axId val="33756307"/>
      </c:barChart>
      <c:catAx>
        <c:axId val="927798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Designation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756307"/>
        <c:crosses val="autoZero"/>
        <c:auto val="1"/>
        <c:lblAlgn val="ctr"/>
        <c:lblOffset val="100"/>
        <c:noMultiLvlLbl val="0"/>
      </c:catAx>
      <c:valAx>
        <c:axId val="337563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Feedback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7798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Flagged Improvement Areas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Chart_Data!K3</c:f>
              <c:strCache>
                <c:ptCount val="1"/>
                <c:pt idx="0">
                  <c:v>Flagged Faculty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Chart_Data!$J$4:$J$8</c:f>
              <c:strCache>
                <c:ptCount val="5"/>
                <c:pt idx="0">
                  <c:v>Attendance</c:v>
                </c:pt>
                <c:pt idx="1">
                  <c:v>Completion</c:v>
                </c:pt>
                <c:pt idx="2">
                  <c:v>Training</c:v>
                </c:pt>
                <c:pt idx="3">
                  <c:v>Performance</c:v>
                </c:pt>
                <c:pt idx="4">
                  <c:v>Workload</c:v>
                </c:pt>
              </c:strCache>
            </c:strRef>
          </c:cat>
          <c:val>
            <c:numRef>
              <c:f>Chart_Data!$K$4:$K$8</c:f>
              <c:numCache>
                <c:formatCode>General</c:formatCode>
                <c:ptCount val="5"/>
                <c:pt idx="0">
                  <c:v>40</c:v>
                </c:pt>
                <c:pt idx="1">
                  <c:v>38</c:v>
                </c:pt>
                <c:pt idx="2">
                  <c:v>36</c:v>
                </c:pt>
                <c:pt idx="3">
                  <c:v>32</c:v>
                </c:pt>
                <c:pt idx="4">
                  <c:v>15</c:v>
                </c:pt>
              </c:numCache>
            </c:numRef>
          </c:val>
        </c:ser>
        <c:gapWidth val="150"/>
        <c:overlap val="0"/>
        <c:axId val="79934352"/>
        <c:axId val="99199335"/>
      </c:barChart>
      <c:catAx>
        <c:axId val="799343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Focus Area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199335"/>
        <c:crosses val="autoZero"/>
        <c:auto val="1"/>
        <c:lblAlgn val="ctr"/>
        <c:lblOffset val="100"/>
        <c:noMultiLvlLbl val="0"/>
      </c:catAx>
      <c:valAx>
        <c:axId val="991993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Faculty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9343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Average Feedback by Training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Chart_Data!N3</c:f>
              <c:strCache>
                <c:ptCount val="1"/>
                <c:pt idx="0">
                  <c:v>Avg Feedback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Chart_Data!$M$4:$M$6</c:f>
              <c:strCache>
                <c:ptCount val="3"/>
                <c:pt idx="0">
                  <c:v>Low Training</c:v>
                </c:pt>
                <c:pt idx="1">
                  <c:v>Mid Training</c:v>
                </c:pt>
                <c:pt idx="2">
                  <c:v>High Training</c:v>
                </c:pt>
              </c:strCache>
            </c:strRef>
          </c:cat>
          <c:val>
            <c:numRef>
              <c:f>Chart_Data!$N$4:$N$6</c:f>
              <c:numCache>
                <c:formatCode>0.00</c:formatCode>
                <c:ptCount val="3"/>
                <c:pt idx="0">
                  <c:v>3.88472222222222</c:v>
                </c:pt>
                <c:pt idx="1">
                  <c:v>4.23636363636364</c:v>
                </c:pt>
                <c:pt idx="2">
                  <c:v>3.96387096774194</c:v>
                </c:pt>
              </c:numCache>
            </c:numRef>
          </c:val>
        </c:ser>
        <c:gapWidth val="150"/>
        <c:overlap val="0"/>
        <c:axId val="34536784"/>
        <c:axId val="12476422"/>
      </c:barChart>
      <c:catAx>
        <c:axId val="345367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Training Band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476422"/>
        <c:crosses val="autoZero"/>
        <c:auto val="1"/>
        <c:lblAlgn val="ctr"/>
        <c:lblOffset val="100"/>
        <c:noMultiLvlLbl val="0"/>
      </c:catAx>
      <c:valAx>
        <c:axId val="124764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Feedback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5367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High-Priority Faculty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Chart_Data!Q3</c:f>
              <c:strCache>
                <c:ptCount val="1"/>
                <c:pt idx="0">
                  <c:v>High Priority Faculty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Chart_Data!$P$4:$P$8</c:f>
              <c:strCache>
                <c:ptCount val="5"/>
                <c:pt idx="0">
                  <c:v>Economics</c:v>
                </c:pt>
                <c:pt idx="1">
                  <c:v>Commerce</c:v>
                </c:pt>
                <c:pt idx="2">
                  <c:v>Mathematics</c:v>
                </c:pt>
                <c:pt idx="3">
                  <c:v>Management</c:v>
                </c:pt>
                <c:pt idx="4">
                  <c:v>Computer Science</c:v>
                </c:pt>
              </c:strCache>
            </c:strRef>
          </c:cat>
          <c:val>
            <c:numRef>
              <c:f>Chart_Data!$Q$4:$Q$8</c:f>
              <c:numCache>
                <c:formatCode>General</c:formatCode>
                <c:ptCount val="5"/>
                <c:pt idx="0">
                  <c:v>3</c:v>
                </c:pt>
                <c:pt idx="1">
                  <c:v>8</c:v>
                </c:pt>
                <c:pt idx="2">
                  <c:v>3</c:v>
                </c:pt>
                <c:pt idx="3">
                  <c:v>2</c:v>
                </c:pt>
                <c:pt idx="4">
                  <c:v>8</c:v>
                </c:pt>
              </c:numCache>
            </c:numRef>
          </c:val>
        </c:ser>
        <c:gapWidth val="150"/>
        <c:overlap val="0"/>
        <c:axId val="2101132"/>
        <c:axId val="56422788"/>
      </c:barChart>
      <c:catAx>
        <c:axId val="21011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422788"/>
        <c:crosses val="autoZero"/>
        <c:auto val="1"/>
        <c:lblAlgn val="ctr"/>
        <c:lblOffset val="100"/>
        <c:noMultiLvlLbl val="0"/>
      </c:catAx>
      <c:valAx>
        <c:axId val="564227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Faculty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011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Feedback vs Performance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"Feedback vs Performance Rating"</c:f>
              <c:strCache>
                <c:ptCount val="1"/>
                <c:pt idx="0">
                  <c:v>Feedback vs Performance Rating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Analyzer!$K$2:$K$101</c:f>
              <c:numCache>
                <c:formatCode>0.00</c:formatCode>
                <c:ptCount val="100"/>
                <c:pt idx="0">
                  <c:v>3.52</c:v>
                </c:pt>
                <c:pt idx="1">
                  <c:v>4.35</c:v>
                </c:pt>
                <c:pt idx="2">
                  <c:v>3.79</c:v>
                </c:pt>
                <c:pt idx="3">
                  <c:v>4.34</c:v>
                </c:pt>
                <c:pt idx="4">
                  <c:v>4.07</c:v>
                </c:pt>
                <c:pt idx="5">
                  <c:v>3.84</c:v>
                </c:pt>
                <c:pt idx="6">
                  <c:v>3.8</c:v>
                </c:pt>
                <c:pt idx="7">
                  <c:v>4.93</c:v>
                </c:pt>
                <c:pt idx="8">
                  <c:v>3.98</c:v>
                </c:pt>
                <c:pt idx="9">
                  <c:v>4.65</c:v>
                </c:pt>
                <c:pt idx="10">
                  <c:v>4.61</c:v>
                </c:pt>
                <c:pt idx="11">
                  <c:v>4.32</c:v>
                </c:pt>
                <c:pt idx="12">
                  <c:v>4.13</c:v>
                </c:pt>
                <c:pt idx="13">
                  <c:v>4.64</c:v>
                </c:pt>
                <c:pt idx="14">
                  <c:v>4</c:v>
                </c:pt>
                <c:pt idx="15">
                  <c:v>4.12</c:v>
                </c:pt>
                <c:pt idx="16">
                  <c:v>4.09</c:v>
                </c:pt>
                <c:pt idx="17">
                  <c:v>4.1</c:v>
                </c:pt>
                <c:pt idx="18">
                  <c:v>4.12</c:v>
                </c:pt>
                <c:pt idx="19">
                  <c:v>4.42</c:v>
                </c:pt>
                <c:pt idx="20">
                  <c:v>4</c:v>
                </c:pt>
                <c:pt idx="21">
                  <c:v>4.14</c:v>
                </c:pt>
                <c:pt idx="22">
                  <c:v>4.3</c:v>
                </c:pt>
                <c:pt idx="23">
                  <c:v>4.47</c:v>
                </c:pt>
                <c:pt idx="24">
                  <c:v>4.3</c:v>
                </c:pt>
                <c:pt idx="25">
                  <c:v>3.96</c:v>
                </c:pt>
                <c:pt idx="26">
                  <c:v>4.94</c:v>
                </c:pt>
                <c:pt idx="27">
                  <c:v>4.07</c:v>
                </c:pt>
                <c:pt idx="28">
                  <c:v>3.96</c:v>
                </c:pt>
                <c:pt idx="29">
                  <c:v>4.32</c:v>
                </c:pt>
                <c:pt idx="30">
                  <c:v>4.64</c:v>
                </c:pt>
                <c:pt idx="31">
                  <c:v>3.83</c:v>
                </c:pt>
                <c:pt idx="32">
                  <c:v>4.14</c:v>
                </c:pt>
                <c:pt idx="33">
                  <c:v>4.33</c:v>
                </c:pt>
                <c:pt idx="34">
                  <c:v>3.49</c:v>
                </c:pt>
                <c:pt idx="35">
                  <c:v>4.29</c:v>
                </c:pt>
                <c:pt idx="36">
                  <c:v>4.42</c:v>
                </c:pt>
                <c:pt idx="37">
                  <c:v>4.13</c:v>
                </c:pt>
                <c:pt idx="38">
                  <c:v>3.57</c:v>
                </c:pt>
                <c:pt idx="39">
                  <c:v>3.96</c:v>
                </c:pt>
                <c:pt idx="40">
                  <c:v>4.19</c:v>
                </c:pt>
                <c:pt idx="41">
                  <c:v>4.06</c:v>
                </c:pt>
                <c:pt idx="42">
                  <c:v>4.25</c:v>
                </c:pt>
                <c:pt idx="43">
                  <c:v>3.33</c:v>
                </c:pt>
                <c:pt idx="44">
                  <c:v>3.96</c:v>
                </c:pt>
                <c:pt idx="45">
                  <c:v>4.19</c:v>
                </c:pt>
                <c:pt idx="46">
                  <c:v>4.42</c:v>
                </c:pt>
                <c:pt idx="47">
                  <c:v>3.44</c:v>
                </c:pt>
                <c:pt idx="48">
                  <c:v>3.44</c:v>
                </c:pt>
                <c:pt idx="49">
                  <c:v>4.12</c:v>
                </c:pt>
                <c:pt idx="50">
                  <c:v>3.8</c:v>
                </c:pt>
                <c:pt idx="51">
                  <c:v>3.67</c:v>
                </c:pt>
                <c:pt idx="52">
                  <c:v>4.5</c:v>
                </c:pt>
                <c:pt idx="53">
                  <c:v>4.84</c:v>
                </c:pt>
                <c:pt idx="54">
                  <c:v>4.64</c:v>
                </c:pt>
                <c:pt idx="55">
                  <c:v>4.53</c:v>
                </c:pt>
                <c:pt idx="56">
                  <c:v>3.73</c:v>
                </c:pt>
                <c:pt idx="57">
                  <c:v>3.55</c:v>
                </c:pt>
                <c:pt idx="58">
                  <c:v>4.21</c:v>
                </c:pt>
                <c:pt idx="59">
                  <c:v>4.14</c:v>
                </c:pt>
                <c:pt idx="60">
                  <c:v>4.24</c:v>
                </c:pt>
                <c:pt idx="61">
                  <c:v>4.36</c:v>
                </c:pt>
                <c:pt idx="62">
                  <c:v>4.16</c:v>
                </c:pt>
                <c:pt idx="63">
                  <c:v>3.82</c:v>
                </c:pt>
                <c:pt idx="64">
                  <c:v>4.01</c:v>
                </c:pt>
                <c:pt idx="65">
                  <c:v>4.32</c:v>
                </c:pt>
                <c:pt idx="66">
                  <c:v>4.39</c:v>
                </c:pt>
                <c:pt idx="67">
                  <c:v>4.51</c:v>
                </c:pt>
                <c:pt idx="68">
                  <c:v>4.38</c:v>
                </c:pt>
                <c:pt idx="69">
                  <c:v>4</c:v>
                </c:pt>
                <c:pt idx="70">
                  <c:v>4.13</c:v>
                </c:pt>
                <c:pt idx="71">
                  <c:v>4.36</c:v>
                </c:pt>
                <c:pt idx="72">
                  <c:v>3.9</c:v>
                </c:pt>
                <c:pt idx="73">
                  <c:v>4.58</c:v>
                </c:pt>
                <c:pt idx="74">
                  <c:v>3.97</c:v>
                </c:pt>
                <c:pt idx="75">
                  <c:v>4.29</c:v>
                </c:pt>
                <c:pt idx="76">
                  <c:v>3.64</c:v>
                </c:pt>
                <c:pt idx="77">
                  <c:v>4.02</c:v>
                </c:pt>
                <c:pt idx="78">
                  <c:v>4.64</c:v>
                </c:pt>
                <c:pt idx="79">
                  <c:v>3.7</c:v>
                </c:pt>
                <c:pt idx="80">
                  <c:v>4.09</c:v>
                </c:pt>
                <c:pt idx="81">
                  <c:v>3.94</c:v>
                </c:pt>
                <c:pt idx="82">
                  <c:v>4.54</c:v>
                </c:pt>
                <c:pt idx="83">
                  <c:v>4.29</c:v>
                </c:pt>
                <c:pt idx="84">
                  <c:v>3.96</c:v>
                </c:pt>
                <c:pt idx="85">
                  <c:v>3.57</c:v>
                </c:pt>
                <c:pt idx="86">
                  <c:v>4.12</c:v>
                </c:pt>
                <c:pt idx="87">
                  <c:v>3.44</c:v>
                </c:pt>
                <c:pt idx="88">
                  <c:v>4.5</c:v>
                </c:pt>
                <c:pt idx="89">
                  <c:v>3.88</c:v>
                </c:pt>
                <c:pt idx="90">
                  <c:v>4.09</c:v>
                </c:pt>
                <c:pt idx="91">
                  <c:v>4.06</c:v>
                </c:pt>
                <c:pt idx="92">
                  <c:v>4.73</c:v>
                </c:pt>
                <c:pt idx="93">
                  <c:v>3.96</c:v>
                </c:pt>
                <c:pt idx="94">
                  <c:v>4.04</c:v>
                </c:pt>
                <c:pt idx="95">
                  <c:v>4.23</c:v>
                </c:pt>
                <c:pt idx="96">
                  <c:v>4.08</c:v>
                </c:pt>
                <c:pt idx="97">
                  <c:v>3.83</c:v>
                </c:pt>
                <c:pt idx="98">
                  <c:v>3.54</c:v>
                </c:pt>
                <c:pt idx="99">
                  <c:v>4.36</c:v>
                </c:pt>
              </c:numCache>
            </c:numRef>
          </c:xVal>
          <c:yVal>
            <c:numRef>
              <c:f>Analyzer!$H$2:$H$101</c:f>
              <c:numCache>
                <c:formatCode>0.00</c:formatCode>
                <c:ptCount val="100"/>
                <c:pt idx="0">
                  <c:v>3.04</c:v>
                </c:pt>
                <c:pt idx="1">
                  <c:v>4.81</c:v>
                </c:pt>
                <c:pt idx="2">
                  <c:v>4.07</c:v>
                </c:pt>
                <c:pt idx="3">
                  <c:v>4.53</c:v>
                </c:pt>
                <c:pt idx="4">
                  <c:v>3.8</c:v>
                </c:pt>
                <c:pt idx="5">
                  <c:v>3.78</c:v>
                </c:pt>
                <c:pt idx="6">
                  <c:v>3.35</c:v>
                </c:pt>
                <c:pt idx="7">
                  <c:v>4.95</c:v>
                </c:pt>
                <c:pt idx="8">
                  <c:v>3.05</c:v>
                </c:pt>
                <c:pt idx="9">
                  <c:v>4.51</c:v>
                </c:pt>
                <c:pt idx="10">
                  <c:v>4.27</c:v>
                </c:pt>
                <c:pt idx="11">
                  <c:v>4.04</c:v>
                </c:pt>
                <c:pt idx="12">
                  <c:v>3.32</c:v>
                </c:pt>
                <c:pt idx="13">
                  <c:v>4.94</c:v>
                </c:pt>
                <c:pt idx="14">
                  <c:v>4.35</c:v>
                </c:pt>
                <c:pt idx="15">
                  <c:v>3.99</c:v>
                </c:pt>
                <c:pt idx="16">
                  <c:v>4.23</c:v>
                </c:pt>
                <c:pt idx="17">
                  <c:v>3.24</c:v>
                </c:pt>
                <c:pt idx="18">
                  <c:v>4.53</c:v>
                </c:pt>
                <c:pt idx="19">
                  <c:v>4.29</c:v>
                </c:pt>
                <c:pt idx="20">
                  <c:v>3.01</c:v>
                </c:pt>
                <c:pt idx="21">
                  <c:v>3.59</c:v>
                </c:pt>
                <c:pt idx="22">
                  <c:v>4.85</c:v>
                </c:pt>
                <c:pt idx="23">
                  <c:v>4.45</c:v>
                </c:pt>
                <c:pt idx="24">
                  <c:v>4.3</c:v>
                </c:pt>
                <c:pt idx="25">
                  <c:v>4.06</c:v>
                </c:pt>
                <c:pt idx="26">
                  <c:v>4.92</c:v>
                </c:pt>
                <c:pt idx="27">
                  <c:v>3.74</c:v>
                </c:pt>
                <c:pt idx="28">
                  <c:v>3.28</c:v>
                </c:pt>
                <c:pt idx="29">
                  <c:v>3.64</c:v>
                </c:pt>
                <c:pt idx="30">
                  <c:v>4.38</c:v>
                </c:pt>
                <c:pt idx="31">
                  <c:v>3.12</c:v>
                </c:pt>
                <c:pt idx="32">
                  <c:v>4.03</c:v>
                </c:pt>
                <c:pt idx="33">
                  <c:v>4.45</c:v>
                </c:pt>
                <c:pt idx="34">
                  <c:v>3.37</c:v>
                </c:pt>
                <c:pt idx="35">
                  <c:v>3.99</c:v>
                </c:pt>
                <c:pt idx="36">
                  <c:v>4.99</c:v>
                </c:pt>
                <c:pt idx="37">
                  <c:v>4.21</c:v>
                </c:pt>
                <c:pt idx="38">
                  <c:v>3.18</c:v>
                </c:pt>
                <c:pt idx="39">
                  <c:v>3.82</c:v>
                </c:pt>
                <c:pt idx="40">
                  <c:v>4.42</c:v>
                </c:pt>
                <c:pt idx="41">
                  <c:v>4.37</c:v>
                </c:pt>
                <c:pt idx="42">
                  <c:v>4.99</c:v>
                </c:pt>
                <c:pt idx="43">
                  <c:v>3.17</c:v>
                </c:pt>
                <c:pt idx="44">
                  <c:v>3.13</c:v>
                </c:pt>
                <c:pt idx="45">
                  <c:v>3.63</c:v>
                </c:pt>
                <c:pt idx="46">
                  <c:v>4.3</c:v>
                </c:pt>
                <c:pt idx="47">
                  <c:v>3.23</c:v>
                </c:pt>
                <c:pt idx="48">
                  <c:v>3.28</c:v>
                </c:pt>
                <c:pt idx="49">
                  <c:v>3.98</c:v>
                </c:pt>
                <c:pt idx="50">
                  <c:v>3.31</c:v>
                </c:pt>
                <c:pt idx="51">
                  <c:v>3.75</c:v>
                </c:pt>
                <c:pt idx="52">
                  <c:v>4.49</c:v>
                </c:pt>
                <c:pt idx="53">
                  <c:v>4.68</c:v>
                </c:pt>
                <c:pt idx="54">
                  <c:v>4.83</c:v>
                </c:pt>
                <c:pt idx="55">
                  <c:v>4.41</c:v>
                </c:pt>
                <c:pt idx="56">
                  <c:v>3.71</c:v>
                </c:pt>
                <c:pt idx="57">
                  <c:v>3.31</c:v>
                </c:pt>
                <c:pt idx="58">
                  <c:v>3.56</c:v>
                </c:pt>
                <c:pt idx="59">
                  <c:v>4.43</c:v>
                </c:pt>
                <c:pt idx="60">
                  <c:v>4.88</c:v>
                </c:pt>
                <c:pt idx="61">
                  <c:v>3.71</c:v>
                </c:pt>
                <c:pt idx="62">
                  <c:v>4.47</c:v>
                </c:pt>
                <c:pt idx="63">
                  <c:v>3.79</c:v>
                </c:pt>
                <c:pt idx="64">
                  <c:v>3.72</c:v>
                </c:pt>
                <c:pt idx="65">
                  <c:v>4.14</c:v>
                </c:pt>
                <c:pt idx="66">
                  <c:v>3.84</c:v>
                </c:pt>
                <c:pt idx="67">
                  <c:v>4.87</c:v>
                </c:pt>
                <c:pt idx="68">
                  <c:v>4.41</c:v>
                </c:pt>
                <c:pt idx="69">
                  <c:v>4.39</c:v>
                </c:pt>
                <c:pt idx="70">
                  <c:v>4.06</c:v>
                </c:pt>
                <c:pt idx="71">
                  <c:v>4.26</c:v>
                </c:pt>
                <c:pt idx="72">
                  <c:v>4.25</c:v>
                </c:pt>
                <c:pt idx="73">
                  <c:v>4.72</c:v>
                </c:pt>
                <c:pt idx="74">
                  <c:v>4.3</c:v>
                </c:pt>
                <c:pt idx="75">
                  <c:v>3.88</c:v>
                </c:pt>
                <c:pt idx="76">
                  <c:v>3.63</c:v>
                </c:pt>
                <c:pt idx="77">
                  <c:v>4.53</c:v>
                </c:pt>
                <c:pt idx="78">
                  <c:v>4.88</c:v>
                </c:pt>
                <c:pt idx="79">
                  <c:v>3.24</c:v>
                </c:pt>
                <c:pt idx="80">
                  <c:v>3.18</c:v>
                </c:pt>
                <c:pt idx="81">
                  <c:v>3.43</c:v>
                </c:pt>
                <c:pt idx="82">
                  <c:v>4.92</c:v>
                </c:pt>
                <c:pt idx="83">
                  <c:v>4.37</c:v>
                </c:pt>
                <c:pt idx="84">
                  <c:v>4.17</c:v>
                </c:pt>
                <c:pt idx="85">
                  <c:v>3.24</c:v>
                </c:pt>
                <c:pt idx="86">
                  <c:v>4.64</c:v>
                </c:pt>
                <c:pt idx="87">
                  <c:v>3.18</c:v>
                </c:pt>
                <c:pt idx="88">
                  <c:v>3.99</c:v>
                </c:pt>
                <c:pt idx="89">
                  <c:v>3.95</c:v>
                </c:pt>
                <c:pt idx="90">
                  <c:v>4.58</c:v>
                </c:pt>
                <c:pt idx="91">
                  <c:v>3.62</c:v>
                </c:pt>
                <c:pt idx="92">
                  <c:v>4.96</c:v>
                </c:pt>
                <c:pt idx="93">
                  <c:v>4.08</c:v>
                </c:pt>
                <c:pt idx="94">
                  <c:v>3.64</c:v>
                </c:pt>
                <c:pt idx="95">
                  <c:v>4.21</c:v>
                </c:pt>
                <c:pt idx="96">
                  <c:v>3.61</c:v>
                </c:pt>
                <c:pt idx="97">
                  <c:v>3.71</c:v>
                </c:pt>
                <c:pt idx="98">
                  <c:v>3.32</c:v>
                </c:pt>
                <c:pt idx="99">
                  <c:v>4.31</c:v>
                </c:pt>
              </c:numCache>
            </c:numRef>
          </c:yVal>
          <c:smooth val="1"/>
        </c:ser>
        <c:axId val="26283774"/>
        <c:axId val="79201823"/>
      </c:scatterChart>
      <c:valAx>
        <c:axId val="2628377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Performance 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201823"/>
        <c:crosses val="autoZero"/>
        <c:crossBetween val="midCat"/>
      </c:valAx>
      <c:valAx>
        <c:axId val="792018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Feedback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28377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Feedback vs Workload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"Feedback vs Workload %"</c:f>
              <c:strCache>
                <c:ptCount val="1"/>
                <c:pt idx="0">
                  <c:v>Feedback vs Workload %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Analyzer!$G$2:$G$101</c:f>
              <c:numCache>
                <c:formatCode>0.0</c:formatCode>
                <c:ptCount val="100"/>
                <c:pt idx="0">
                  <c:v>25</c:v>
                </c:pt>
                <c:pt idx="1">
                  <c:v>30</c:v>
                </c:pt>
                <c:pt idx="2">
                  <c:v>40</c:v>
                </c:pt>
                <c:pt idx="3">
                  <c:v>25</c:v>
                </c:pt>
                <c:pt idx="4">
                  <c:v>25</c:v>
                </c:pt>
                <c:pt idx="5">
                  <c:v>20</c:v>
                </c:pt>
                <c:pt idx="6">
                  <c:v>30</c:v>
                </c:pt>
                <c:pt idx="7">
                  <c:v>45</c:v>
                </c:pt>
                <c:pt idx="8">
                  <c:v>40</c:v>
                </c:pt>
                <c:pt idx="9">
                  <c:v>30</c:v>
                </c:pt>
                <c:pt idx="10">
                  <c:v>45</c:v>
                </c:pt>
                <c:pt idx="11">
                  <c:v>25</c:v>
                </c:pt>
                <c:pt idx="12">
                  <c:v>25</c:v>
                </c:pt>
                <c:pt idx="13">
                  <c:v>30</c:v>
                </c:pt>
                <c:pt idx="14">
                  <c:v>30</c:v>
                </c:pt>
                <c:pt idx="15">
                  <c:v>20</c:v>
                </c:pt>
                <c:pt idx="16">
                  <c:v>40</c:v>
                </c:pt>
                <c:pt idx="17">
                  <c:v>35</c:v>
                </c:pt>
                <c:pt idx="18">
                  <c:v>35</c:v>
                </c:pt>
                <c:pt idx="19">
                  <c:v>30</c:v>
                </c:pt>
                <c:pt idx="20">
                  <c:v>30</c:v>
                </c:pt>
                <c:pt idx="21">
                  <c:v>20</c:v>
                </c:pt>
                <c:pt idx="22">
                  <c:v>35</c:v>
                </c:pt>
                <c:pt idx="23">
                  <c:v>35</c:v>
                </c:pt>
                <c:pt idx="24">
                  <c:v>30</c:v>
                </c:pt>
                <c:pt idx="25">
                  <c:v>45</c:v>
                </c:pt>
                <c:pt idx="26">
                  <c:v>25</c:v>
                </c:pt>
                <c:pt idx="27">
                  <c:v>30</c:v>
                </c:pt>
                <c:pt idx="28">
                  <c:v>30</c:v>
                </c:pt>
                <c:pt idx="29">
                  <c:v>35</c:v>
                </c:pt>
                <c:pt idx="30">
                  <c:v>35</c:v>
                </c:pt>
                <c:pt idx="31">
                  <c:v>40</c:v>
                </c:pt>
                <c:pt idx="32">
                  <c:v>35</c:v>
                </c:pt>
                <c:pt idx="33">
                  <c:v>20</c:v>
                </c:pt>
                <c:pt idx="34">
                  <c:v>40</c:v>
                </c:pt>
                <c:pt idx="35">
                  <c:v>35</c:v>
                </c:pt>
                <c:pt idx="36">
                  <c:v>25</c:v>
                </c:pt>
                <c:pt idx="37">
                  <c:v>30</c:v>
                </c:pt>
                <c:pt idx="38">
                  <c:v>50</c:v>
                </c:pt>
                <c:pt idx="39">
                  <c:v>15</c:v>
                </c:pt>
                <c:pt idx="40">
                  <c:v>20</c:v>
                </c:pt>
                <c:pt idx="41">
                  <c:v>30</c:v>
                </c:pt>
                <c:pt idx="42">
                  <c:v>35</c:v>
                </c:pt>
                <c:pt idx="43">
                  <c:v>45</c:v>
                </c:pt>
                <c:pt idx="44">
                  <c:v>35</c:v>
                </c:pt>
                <c:pt idx="45">
                  <c:v>30</c:v>
                </c:pt>
                <c:pt idx="46">
                  <c:v>40</c:v>
                </c:pt>
                <c:pt idx="47">
                  <c:v>35</c:v>
                </c:pt>
                <c:pt idx="48">
                  <c:v>50</c:v>
                </c:pt>
                <c:pt idx="49">
                  <c:v>20</c:v>
                </c:pt>
                <c:pt idx="50">
                  <c:v>45</c:v>
                </c:pt>
                <c:pt idx="51">
                  <c:v>35</c:v>
                </c:pt>
                <c:pt idx="52">
                  <c:v>45</c:v>
                </c:pt>
                <c:pt idx="53">
                  <c:v>25</c:v>
                </c:pt>
                <c:pt idx="54">
                  <c:v>35</c:v>
                </c:pt>
                <c:pt idx="55">
                  <c:v>50</c:v>
                </c:pt>
                <c:pt idx="56">
                  <c:v>25</c:v>
                </c:pt>
                <c:pt idx="57">
                  <c:v>25</c:v>
                </c:pt>
                <c:pt idx="58">
                  <c:v>20</c:v>
                </c:pt>
                <c:pt idx="59">
                  <c:v>35</c:v>
                </c:pt>
                <c:pt idx="60">
                  <c:v>35</c:v>
                </c:pt>
                <c:pt idx="61">
                  <c:v>30</c:v>
                </c:pt>
                <c:pt idx="62">
                  <c:v>55</c:v>
                </c:pt>
                <c:pt idx="63">
                  <c:v>35</c:v>
                </c:pt>
                <c:pt idx="64">
                  <c:v>15</c:v>
                </c:pt>
                <c:pt idx="65">
                  <c:v>45</c:v>
                </c:pt>
                <c:pt idx="66">
                  <c:v>30</c:v>
                </c:pt>
                <c:pt idx="67">
                  <c:v>25</c:v>
                </c:pt>
                <c:pt idx="68">
                  <c:v>30</c:v>
                </c:pt>
                <c:pt idx="69">
                  <c:v>40</c:v>
                </c:pt>
                <c:pt idx="70">
                  <c:v>35</c:v>
                </c:pt>
                <c:pt idx="71">
                  <c:v>30</c:v>
                </c:pt>
                <c:pt idx="72">
                  <c:v>40</c:v>
                </c:pt>
                <c:pt idx="73">
                  <c:v>15</c:v>
                </c:pt>
                <c:pt idx="74">
                  <c:v>40</c:v>
                </c:pt>
                <c:pt idx="75">
                  <c:v>30</c:v>
                </c:pt>
                <c:pt idx="76">
                  <c:v>40</c:v>
                </c:pt>
                <c:pt idx="77">
                  <c:v>25</c:v>
                </c:pt>
                <c:pt idx="78">
                  <c:v>30</c:v>
                </c:pt>
                <c:pt idx="79">
                  <c:v>45</c:v>
                </c:pt>
                <c:pt idx="80">
                  <c:v>30</c:v>
                </c:pt>
                <c:pt idx="81">
                  <c:v>25</c:v>
                </c:pt>
                <c:pt idx="82">
                  <c:v>50</c:v>
                </c:pt>
                <c:pt idx="83">
                  <c:v>35</c:v>
                </c:pt>
                <c:pt idx="84">
                  <c:v>35</c:v>
                </c:pt>
                <c:pt idx="85">
                  <c:v>40</c:v>
                </c:pt>
                <c:pt idx="86">
                  <c:v>25</c:v>
                </c:pt>
                <c:pt idx="87">
                  <c:v>40</c:v>
                </c:pt>
                <c:pt idx="88">
                  <c:v>30</c:v>
                </c:pt>
                <c:pt idx="89">
                  <c:v>20</c:v>
                </c:pt>
                <c:pt idx="90">
                  <c:v>15</c:v>
                </c:pt>
                <c:pt idx="91">
                  <c:v>20</c:v>
                </c:pt>
                <c:pt idx="92">
                  <c:v>45</c:v>
                </c:pt>
                <c:pt idx="93">
                  <c:v>35</c:v>
                </c:pt>
                <c:pt idx="94">
                  <c:v>30</c:v>
                </c:pt>
                <c:pt idx="95">
                  <c:v>35</c:v>
                </c:pt>
                <c:pt idx="96">
                  <c:v>45</c:v>
                </c:pt>
                <c:pt idx="97">
                  <c:v>25</c:v>
                </c:pt>
                <c:pt idx="98">
                  <c:v>35</c:v>
                </c:pt>
                <c:pt idx="99">
                  <c:v>35</c:v>
                </c:pt>
              </c:numCache>
            </c:numRef>
          </c:xVal>
          <c:yVal>
            <c:numRef>
              <c:f>Analyzer!$H$2:$H$101</c:f>
              <c:numCache>
                <c:formatCode>0.00</c:formatCode>
                <c:ptCount val="100"/>
                <c:pt idx="0">
                  <c:v>3.04</c:v>
                </c:pt>
                <c:pt idx="1">
                  <c:v>4.81</c:v>
                </c:pt>
                <c:pt idx="2">
                  <c:v>4.07</c:v>
                </c:pt>
                <c:pt idx="3">
                  <c:v>4.53</c:v>
                </c:pt>
                <c:pt idx="4">
                  <c:v>3.8</c:v>
                </c:pt>
                <c:pt idx="5">
                  <c:v>3.78</c:v>
                </c:pt>
                <c:pt idx="6">
                  <c:v>3.35</c:v>
                </c:pt>
                <c:pt idx="7">
                  <c:v>4.95</c:v>
                </c:pt>
                <c:pt idx="8">
                  <c:v>3.05</c:v>
                </c:pt>
                <c:pt idx="9">
                  <c:v>4.51</c:v>
                </c:pt>
                <c:pt idx="10">
                  <c:v>4.27</c:v>
                </c:pt>
                <c:pt idx="11">
                  <c:v>4.04</c:v>
                </c:pt>
                <c:pt idx="12">
                  <c:v>3.32</c:v>
                </c:pt>
                <c:pt idx="13">
                  <c:v>4.94</c:v>
                </c:pt>
                <c:pt idx="14">
                  <c:v>4.35</c:v>
                </c:pt>
                <c:pt idx="15">
                  <c:v>3.99</c:v>
                </c:pt>
                <c:pt idx="16">
                  <c:v>4.23</c:v>
                </c:pt>
                <c:pt idx="17">
                  <c:v>3.24</c:v>
                </c:pt>
                <c:pt idx="18">
                  <c:v>4.53</c:v>
                </c:pt>
                <c:pt idx="19">
                  <c:v>4.29</c:v>
                </c:pt>
                <c:pt idx="20">
                  <c:v>3.01</c:v>
                </c:pt>
                <c:pt idx="21">
                  <c:v>3.59</c:v>
                </c:pt>
                <c:pt idx="22">
                  <c:v>4.85</c:v>
                </c:pt>
                <c:pt idx="23">
                  <c:v>4.45</c:v>
                </c:pt>
                <c:pt idx="24">
                  <c:v>4.3</c:v>
                </c:pt>
                <c:pt idx="25">
                  <c:v>4.06</c:v>
                </c:pt>
                <c:pt idx="26">
                  <c:v>4.92</c:v>
                </c:pt>
                <c:pt idx="27">
                  <c:v>3.74</c:v>
                </c:pt>
                <c:pt idx="28">
                  <c:v>3.28</c:v>
                </c:pt>
                <c:pt idx="29">
                  <c:v>3.64</c:v>
                </c:pt>
                <c:pt idx="30">
                  <c:v>4.38</c:v>
                </c:pt>
                <c:pt idx="31">
                  <c:v>3.12</c:v>
                </c:pt>
                <c:pt idx="32">
                  <c:v>4.03</c:v>
                </c:pt>
                <c:pt idx="33">
                  <c:v>4.45</c:v>
                </c:pt>
                <c:pt idx="34">
                  <c:v>3.37</c:v>
                </c:pt>
                <c:pt idx="35">
                  <c:v>3.99</c:v>
                </c:pt>
                <c:pt idx="36">
                  <c:v>4.99</c:v>
                </c:pt>
                <c:pt idx="37">
                  <c:v>4.21</c:v>
                </c:pt>
                <c:pt idx="38">
                  <c:v>3.18</c:v>
                </c:pt>
                <c:pt idx="39">
                  <c:v>3.82</c:v>
                </c:pt>
                <c:pt idx="40">
                  <c:v>4.42</c:v>
                </c:pt>
                <c:pt idx="41">
                  <c:v>4.37</c:v>
                </c:pt>
                <c:pt idx="42">
                  <c:v>4.99</c:v>
                </c:pt>
                <c:pt idx="43">
                  <c:v>3.17</c:v>
                </c:pt>
                <c:pt idx="44">
                  <c:v>3.13</c:v>
                </c:pt>
                <c:pt idx="45">
                  <c:v>3.63</c:v>
                </c:pt>
                <c:pt idx="46">
                  <c:v>4.3</c:v>
                </c:pt>
                <c:pt idx="47">
                  <c:v>3.23</c:v>
                </c:pt>
                <c:pt idx="48">
                  <c:v>3.28</c:v>
                </c:pt>
                <c:pt idx="49">
                  <c:v>3.98</c:v>
                </c:pt>
                <c:pt idx="50">
                  <c:v>3.31</c:v>
                </c:pt>
                <c:pt idx="51">
                  <c:v>3.75</c:v>
                </c:pt>
                <c:pt idx="52">
                  <c:v>4.49</c:v>
                </c:pt>
                <c:pt idx="53">
                  <c:v>4.68</c:v>
                </c:pt>
                <c:pt idx="54">
                  <c:v>4.83</c:v>
                </c:pt>
                <c:pt idx="55">
                  <c:v>4.41</c:v>
                </c:pt>
                <c:pt idx="56">
                  <c:v>3.71</c:v>
                </c:pt>
                <c:pt idx="57">
                  <c:v>3.31</c:v>
                </c:pt>
                <c:pt idx="58">
                  <c:v>3.56</c:v>
                </c:pt>
                <c:pt idx="59">
                  <c:v>4.43</c:v>
                </c:pt>
                <c:pt idx="60">
                  <c:v>4.88</c:v>
                </c:pt>
                <c:pt idx="61">
                  <c:v>3.71</c:v>
                </c:pt>
                <c:pt idx="62">
                  <c:v>4.47</c:v>
                </c:pt>
                <c:pt idx="63">
                  <c:v>3.79</c:v>
                </c:pt>
                <c:pt idx="64">
                  <c:v>3.72</c:v>
                </c:pt>
                <c:pt idx="65">
                  <c:v>4.14</c:v>
                </c:pt>
                <c:pt idx="66">
                  <c:v>3.84</c:v>
                </c:pt>
                <c:pt idx="67">
                  <c:v>4.87</c:v>
                </c:pt>
                <c:pt idx="68">
                  <c:v>4.41</c:v>
                </c:pt>
                <c:pt idx="69">
                  <c:v>4.39</c:v>
                </c:pt>
                <c:pt idx="70">
                  <c:v>4.06</c:v>
                </c:pt>
                <c:pt idx="71">
                  <c:v>4.26</c:v>
                </c:pt>
                <c:pt idx="72">
                  <c:v>4.25</c:v>
                </c:pt>
                <c:pt idx="73">
                  <c:v>4.72</c:v>
                </c:pt>
                <c:pt idx="74">
                  <c:v>4.3</c:v>
                </c:pt>
                <c:pt idx="75">
                  <c:v>3.88</c:v>
                </c:pt>
                <c:pt idx="76">
                  <c:v>3.63</c:v>
                </c:pt>
                <c:pt idx="77">
                  <c:v>4.53</c:v>
                </c:pt>
                <c:pt idx="78">
                  <c:v>4.88</c:v>
                </c:pt>
                <c:pt idx="79">
                  <c:v>3.24</c:v>
                </c:pt>
                <c:pt idx="80">
                  <c:v>3.18</c:v>
                </c:pt>
                <c:pt idx="81">
                  <c:v>3.43</c:v>
                </c:pt>
                <c:pt idx="82">
                  <c:v>4.92</c:v>
                </c:pt>
                <c:pt idx="83">
                  <c:v>4.37</c:v>
                </c:pt>
                <c:pt idx="84">
                  <c:v>4.17</c:v>
                </c:pt>
                <c:pt idx="85">
                  <c:v>3.24</c:v>
                </c:pt>
                <c:pt idx="86">
                  <c:v>4.64</c:v>
                </c:pt>
                <c:pt idx="87">
                  <c:v>3.18</c:v>
                </c:pt>
                <c:pt idx="88">
                  <c:v>3.99</c:v>
                </c:pt>
                <c:pt idx="89">
                  <c:v>3.95</c:v>
                </c:pt>
                <c:pt idx="90">
                  <c:v>4.58</c:v>
                </c:pt>
                <c:pt idx="91">
                  <c:v>3.62</c:v>
                </c:pt>
                <c:pt idx="92">
                  <c:v>4.96</c:v>
                </c:pt>
                <c:pt idx="93">
                  <c:v>4.08</c:v>
                </c:pt>
                <c:pt idx="94">
                  <c:v>3.64</c:v>
                </c:pt>
                <c:pt idx="95">
                  <c:v>4.21</c:v>
                </c:pt>
                <c:pt idx="96">
                  <c:v>3.61</c:v>
                </c:pt>
                <c:pt idx="97">
                  <c:v>3.71</c:v>
                </c:pt>
                <c:pt idx="98">
                  <c:v>3.32</c:v>
                </c:pt>
                <c:pt idx="99">
                  <c:v>4.31</c:v>
                </c:pt>
              </c:numCache>
            </c:numRef>
          </c:yVal>
          <c:smooth val="1"/>
        </c:ser>
        <c:axId val="96094615"/>
        <c:axId val="25946768"/>
      </c:scatterChart>
      <c:valAx>
        <c:axId val="9609461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Workload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946768"/>
        <c:crosses val="autoZero"/>
        <c:crossBetween val="midCat"/>
      </c:valAx>
      <c:valAx>
        <c:axId val="259467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Feedback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09461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Feedback vs Attendance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"Feedback vs Attendance %"</c:f>
              <c:strCache>
                <c:ptCount val="1"/>
                <c:pt idx="0">
                  <c:v>Feedback vs Attendance %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Analyzer!$I$2:$I$101</c:f>
              <c:numCache>
                <c:formatCode>0.0</c:formatCode>
                <c:ptCount val="100"/>
                <c:pt idx="0">
                  <c:v>80</c:v>
                </c:pt>
                <c:pt idx="1">
                  <c:v>88</c:v>
                </c:pt>
                <c:pt idx="2">
                  <c:v>88</c:v>
                </c:pt>
                <c:pt idx="3">
                  <c:v>85</c:v>
                </c:pt>
                <c:pt idx="4">
                  <c:v>77</c:v>
                </c:pt>
                <c:pt idx="5">
                  <c:v>96</c:v>
                </c:pt>
                <c:pt idx="6">
                  <c:v>84</c:v>
                </c:pt>
                <c:pt idx="7">
                  <c:v>60</c:v>
                </c:pt>
                <c:pt idx="8">
                  <c:v>69</c:v>
                </c:pt>
                <c:pt idx="9">
                  <c:v>81</c:v>
                </c:pt>
                <c:pt idx="10">
                  <c:v>63</c:v>
                </c:pt>
                <c:pt idx="11">
                  <c:v>60</c:v>
                </c:pt>
                <c:pt idx="12">
                  <c:v>79</c:v>
                </c:pt>
                <c:pt idx="13">
                  <c:v>64</c:v>
                </c:pt>
                <c:pt idx="14">
                  <c:v>81</c:v>
                </c:pt>
                <c:pt idx="15">
                  <c:v>82</c:v>
                </c:pt>
                <c:pt idx="16">
                  <c:v>68</c:v>
                </c:pt>
                <c:pt idx="17">
                  <c:v>63</c:v>
                </c:pt>
                <c:pt idx="18">
                  <c:v>100</c:v>
                </c:pt>
                <c:pt idx="19">
                  <c:v>72</c:v>
                </c:pt>
                <c:pt idx="20">
                  <c:v>96</c:v>
                </c:pt>
                <c:pt idx="21">
                  <c:v>93</c:v>
                </c:pt>
                <c:pt idx="22">
                  <c:v>71</c:v>
                </c:pt>
                <c:pt idx="23">
                  <c:v>86</c:v>
                </c:pt>
                <c:pt idx="24">
                  <c:v>87</c:v>
                </c:pt>
                <c:pt idx="25">
                  <c:v>88</c:v>
                </c:pt>
                <c:pt idx="26">
                  <c:v>81</c:v>
                </c:pt>
                <c:pt idx="27">
                  <c:v>62</c:v>
                </c:pt>
                <c:pt idx="28">
                  <c:v>92</c:v>
                </c:pt>
                <c:pt idx="29">
                  <c:v>75</c:v>
                </c:pt>
                <c:pt idx="30">
                  <c:v>74</c:v>
                </c:pt>
                <c:pt idx="31">
                  <c:v>98</c:v>
                </c:pt>
                <c:pt idx="32">
                  <c:v>74</c:v>
                </c:pt>
                <c:pt idx="33">
                  <c:v>94</c:v>
                </c:pt>
                <c:pt idx="34">
                  <c:v>100</c:v>
                </c:pt>
                <c:pt idx="35">
                  <c:v>88</c:v>
                </c:pt>
                <c:pt idx="36">
                  <c:v>85</c:v>
                </c:pt>
                <c:pt idx="37">
                  <c:v>80</c:v>
                </c:pt>
                <c:pt idx="38">
                  <c:v>69</c:v>
                </c:pt>
                <c:pt idx="39">
                  <c:v>66</c:v>
                </c:pt>
                <c:pt idx="40">
                  <c:v>60</c:v>
                </c:pt>
                <c:pt idx="41">
                  <c:v>60</c:v>
                </c:pt>
                <c:pt idx="42">
                  <c:v>77</c:v>
                </c:pt>
                <c:pt idx="43">
                  <c:v>99</c:v>
                </c:pt>
                <c:pt idx="44">
                  <c:v>63</c:v>
                </c:pt>
                <c:pt idx="45">
                  <c:v>73</c:v>
                </c:pt>
                <c:pt idx="46">
                  <c:v>80</c:v>
                </c:pt>
                <c:pt idx="47">
                  <c:v>66</c:v>
                </c:pt>
                <c:pt idx="48">
                  <c:v>68</c:v>
                </c:pt>
                <c:pt idx="49">
                  <c:v>77</c:v>
                </c:pt>
                <c:pt idx="50">
                  <c:v>68</c:v>
                </c:pt>
                <c:pt idx="51">
                  <c:v>95</c:v>
                </c:pt>
                <c:pt idx="52">
                  <c:v>84</c:v>
                </c:pt>
                <c:pt idx="53">
                  <c:v>63</c:v>
                </c:pt>
                <c:pt idx="54">
                  <c:v>87</c:v>
                </c:pt>
                <c:pt idx="55">
                  <c:v>74</c:v>
                </c:pt>
                <c:pt idx="56">
                  <c:v>85</c:v>
                </c:pt>
                <c:pt idx="57">
                  <c:v>69</c:v>
                </c:pt>
                <c:pt idx="58">
                  <c:v>100</c:v>
                </c:pt>
                <c:pt idx="59">
                  <c:v>88</c:v>
                </c:pt>
                <c:pt idx="60">
                  <c:v>72</c:v>
                </c:pt>
                <c:pt idx="61">
                  <c:v>95</c:v>
                </c:pt>
                <c:pt idx="62">
                  <c:v>66</c:v>
                </c:pt>
                <c:pt idx="63">
                  <c:v>72</c:v>
                </c:pt>
                <c:pt idx="64">
                  <c:v>77</c:v>
                </c:pt>
                <c:pt idx="65">
                  <c:v>95</c:v>
                </c:pt>
                <c:pt idx="66">
                  <c:v>92</c:v>
                </c:pt>
                <c:pt idx="67">
                  <c:v>66</c:v>
                </c:pt>
                <c:pt idx="68">
                  <c:v>92</c:v>
                </c:pt>
                <c:pt idx="69">
                  <c:v>64</c:v>
                </c:pt>
                <c:pt idx="70">
                  <c:v>88</c:v>
                </c:pt>
                <c:pt idx="71">
                  <c:v>95</c:v>
                </c:pt>
                <c:pt idx="72">
                  <c:v>69</c:v>
                </c:pt>
                <c:pt idx="73">
                  <c:v>90</c:v>
                </c:pt>
                <c:pt idx="74">
                  <c:v>80</c:v>
                </c:pt>
                <c:pt idx="75">
                  <c:v>96</c:v>
                </c:pt>
                <c:pt idx="76">
                  <c:v>86</c:v>
                </c:pt>
                <c:pt idx="77">
                  <c:v>83</c:v>
                </c:pt>
                <c:pt idx="78">
                  <c:v>85</c:v>
                </c:pt>
                <c:pt idx="79">
                  <c:v>88</c:v>
                </c:pt>
                <c:pt idx="80">
                  <c:v>69</c:v>
                </c:pt>
                <c:pt idx="81">
                  <c:v>99</c:v>
                </c:pt>
                <c:pt idx="82">
                  <c:v>83</c:v>
                </c:pt>
                <c:pt idx="83">
                  <c:v>68</c:v>
                </c:pt>
                <c:pt idx="84">
                  <c:v>61</c:v>
                </c:pt>
                <c:pt idx="85">
                  <c:v>64</c:v>
                </c:pt>
                <c:pt idx="86">
                  <c:v>82</c:v>
                </c:pt>
                <c:pt idx="87">
                  <c:v>63</c:v>
                </c:pt>
                <c:pt idx="88">
                  <c:v>80</c:v>
                </c:pt>
                <c:pt idx="89">
                  <c:v>82</c:v>
                </c:pt>
                <c:pt idx="90">
                  <c:v>75</c:v>
                </c:pt>
                <c:pt idx="91">
                  <c:v>60</c:v>
                </c:pt>
                <c:pt idx="92">
                  <c:v>67</c:v>
                </c:pt>
                <c:pt idx="93">
                  <c:v>67</c:v>
                </c:pt>
                <c:pt idx="94">
                  <c:v>62</c:v>
                </c:pt>
                <c:pt idx="95">
                  <c:v>91</c:v>
                </c:pt>
                <c:pt idx="96">
                  <c:v>85</c:v>
                </c:pt>
                <c:pt idx="97">
                  <c:v>90</c:v>
                </c:pt>
                <c:pt idx="98">
                  <c:v>64</c:v>
                </c:pt>
                <c:pt idx="99">
                  <c:v>77</c:v>
                </c:pt>
              </c:numCache>
            </c:numRef>
          </c:xVal>
          <c:yVal>
            <c:numRef>
              <c:f>Analyzer!$H$2:$H$101</c:f>
              <c:numCache>
                <c:formatCode>0.00</c:formatCode>
                <c:ptCount val="100"/>
                <c:pt idx="0">
                  <c:v>3.04</c:v>
                </c:pt>
                <c:pt idx="1">
                  <c:v>4.81</c:v>
                </c:pt>
                <c:pt idx="2">
                  <c:v>4.07</c:v>
                </c:pt>
                <c:pt idx="3">
                  <c:v>4.53</c:v>
                </c:pt>
                <c:pt idx="4">
                  <c:v>3.8</c:v>
                </c:pt>
                <c:pt idx="5">
                  <c:v>3.78</c:v>
                </c:pt>
                <c:pt idx="6">
                  <c:v>3.35</c:v>
                </c:pt>
                <c:pt idx="7">
                  <c:v>4.95</c:v>
                </c:pt>
                <c:pt idx="8">
                  <c:v>3.05</c:v>
                </c:pt>
                <c:pt idx="9">
                  <c:v>4.51</c:v>
                </c:pt>
                <c:pt idx="10">
                  <c:v>4.27</c:v>
                </c:pt>
                <c:pt idx="11">
                  <c:v>4.04</c:v>
                </c:pt>
                <c:pt idx="12">
                  <c:v>3.32</c:v>
                </c:pt>
                <c:pt idx="13">
                  <c:v>4.94</c:v>
                </c:pt>
                <c:pt idx="14">
                  <c:v>4.35</c:v>
                </c:pt>
                <c:pt idx="15">
                  <c:v>3.99</c:v>
                </c:pt>
                <c:pt idx="16">
                  <c:v>4.23</c:v>
                </c:pt>
                <c:pt idx="17">
                  <c:v>3.24</c:v>
                </c:pt>
                <c:pt idx="18">
                  <c:v>4.53</c:v>
                </c:pt>
                <c:pt idx="19">
                  <c:v>4.29</c:v>
                </c:pt>
                <c:pt idx="20">
                  <c:v>3.01</c:v>
                </c:pt>
                <c:pt idx="21">
                  <c:v>3.59</c:v>
                </c:pt>
                <c:pt idx="22">
                  <c:v>4.85</c:v>
                </c:pt>
                <c:pt idx="23">
                  <c:v>4.45</c:v>
                </c:pt>
                <c:pt idx="24">
                  <c:v>4.3</c:v>
                </c:pt>
                <c:pt idx="25">
                  <c:v>4.06</c:v>
                </c:pt>
                <c:pt idx="26">
                  <c:v>4.92</c:v>
                </c:pt>
                <c:pt idx="27">
                  <c:v>3.74</c:v>
                </c:pt>
                <c:pt idx="28">
                  <c:v>3.28</c:v>
                </c:pt>
                <c:pt idx="29">
                  <c:v>3.64</c:v>
                </c:pt>
                <c:pt idx="30">
                  <c:v>4.38</c:v>
                </c:pt>
                <c:pt idx="31">
                  <c:v>3.12</c:v>
                </c:pt>
                <c:pt idx="32">
                  <c:v>4.03</c:v>
                </c:pt>
                <c:pt idx="33">
                  <c:v>4.45</c:v>
                </c:pt>
                <c:pt idx="34">
                  <c:v>3.37</c:v>
                </c:pt>
                <c:pt idx="35">
                  <c:v>3.99</c:v>
                </c:pt>
                <c:pt idx="36">
                  <c:v>4.99</c:v>
                </c:pt>
                <c:pt idx="37">
                  <c:v>4.21</c:v>
                </c:pt>
                <c:pt idx="38">
                  <c:v>3.18</c:v>
                </c:pt>
                <c:pt idx="39">
                  <c:v>3.82</c:v>
                </c:pt>
                <c:pt idx="40">
                  <c:v>4.42</c:v>
                </c:pt>
                <c:pt idx="41">
                  <c:v>4.37</c:v>
                </c:pt>
                <c:pt idx="42">
                  <c:v>4.99</c:v>
                </c:pt>
                <c:pt idx="43">
                  <c:v>3.17</c:v>
                </c:pt>
                <c:pt idx="44">
                  <c:v>3.13</c:v>
                </c:pt>
                <c:pt idx="45">
                  <c:v>3.63</c:v>
                </c:pt>
                <c:pt idx="46">
                  <c:v>4.3</c:v>
                </c:pt>
                <c:pt idx="47">
                  <c:v>3.23</c:v>
                </c:pt>
                <c:pt idx="48">
                  <c:v>3.28</c:v>
                </c:pt>
                <c:pt idx="49">
                  <c:v>3.98</c:v>
                </c:pt>
                <c:pt idx="50">
                  <c:v>3.31</c:v>
                </c:pt>
                <c:pt idx="51">
                  <c:v>3.75</c:v>
                </c:pt>
                <c:pt idx="52">
                  <c:v>4.49</c:v>
                </c:pt>
                <c:pt idx="53">
                  <c:v>4.68</c:v>
                </c:pt>
                <c:pt idx="54">
                  <c:v>4.83</c:v>
                </c:pt>
                <c:pt idx="55">
                  <c:v>4.41</c:v>
                </c:pt>
                <c:pt idx="56">
                  <c:v>3.71</c:v>
                </c:pt>
                <c:pt idx="57">
                  <c:v>3.31</c:v>
                </c:pt>
                <c:pt idx="58">
                  <c:v>3.56</c:v>
                </c:pt>
                <c:pt idx="59">
                  <c:v>4.43</c:v>
                </c:pt>
                <c:pt idx="60">
                  <c:v>4.88</c:v>
                </c:pt>
                <c:pt idx="61">
                  <c:v>3.71</c:v>
                </c:pt>
                <c:pt idx="62">
                  <c:v>4.47</c:v>
                </c:pt>
                <c:pt idx="63">
                  <c:v>3.79</c:v>
                </c:pt>
                <c:pt idx="64">
                  <c:v>3.72</c:v>
                </c:pt>
                <c:pt idx="65">
                  <c:v>4.14</c:v>
                </c:pt>
                <c:pt idx="66">
                  <c:v>3.84</c:v>
                </c:pt>
                <c:pt idx="67">
                  <c:v>4.87</c:v>
                </c:pt>
                <c:pt idx="68">
                  <c:v>4.41</c:v>
                </c:pt>
                <c:pt idx="69">
                  <c:v>4.39</c:v>
                </c:pt>
                <c:pt idx="70">
                  <c:v>4.06</c:v>
                </c:pt>
                <c:pt idx="71">
                  <c:v>4.26</c:v>
                </c:pt>
                <c:pt idx="72">
                  <c:v>4.25</c:v>
                </c:pt>
                <c:pt idx="73">
                  <c:v>4.72</c:v>
                </c:pt>
                <c:pt idx="74">
                  <c:v>4.3</c:v>
                </c:pt>
                <c:pt idx="75">
                  <c:v>3.88</c:v>
                </c:pt>
                <c:pt idx="76">
                  <c:v>3.63</c:v>
                </c:pt>
                <c:pt idx="77">
                  <c:v>4.53</c:v>
                </c:pt>
                <c:pt idx="78">
                  <c:v>4.88</c:v>
                </c:pt>
                <c:pt idx="79">
                  <c:v>3.24</c:v>
                </c:pt>
                <c:pt idx="80">
                  <c:v>3.18</c:v>
                </c:pt>
                <c:pt idx="81">
                  <c:v>3.43</c:v>
                </c:pt>
                <c:pt idx="82">
                  <c:v>4.92</c:v>
                </c:pt>
                <c:pt idx="83">
                  <c:v>4.37</c:v>
                </c:pt>
                <c:pt idx="84">
                  <c:v>4.17</c:v>
                </c:pt>
                <c:pt idx="85">
                  <c:v>3.24</c:v>
                </c:pt>
                <c:pt idx="86">
                  <c:v>4.64</c:v>
                </c:pt>
                <c:pt idx="87">
                  <c:v>3.18</c:v>
                </c:pt>
                <c:pt idx="88">
                  <c:v>3.99</c:v>
                </c:pt>
                <c:pt idx="89">
                  <c:v>3.95</c:v>
                </c:pt>
                <c:pt idx="90">
                  <c:v>4.58</c:v>
                </c:pt>
                <c:pt idx="91">
                  <c:v>3.62</c:v>
                </c:pt>
                <c:pt idx="92">
                  <c:v>4.96</c:v>
                </c:pt>
                <c:pt idx="93">
                  <c:v>4.08</c:v>
                </c:pt>
                <c:pt idx="94">
                  <c:v>3.64</c:v>
                </c:pt>
                <c:pt idx="95">
                  <c:v>4.21</c:v>
                </c:pt>
                <c:pt idx="96">
                  <c:v>3.61</c:v>
                </c:pt>
                <c:pt idx="97">
                  <c:v>3.71</c:v>
                </c:pt>
                <c:pt idx="98">
                  <c:v>3.32</c:v>
                </c:pt>
                <c:pt idx="99">
                  <c:v>4.31</c:v>
                </c:pt>
              </c:numCache>
            </c:numRef>
          </c:yVal>
          <c:smooth val="1"/>
        </c:ser>
        <c:axId val="94747746"/>
        <c:axId val="56410362"/>
      </c:scatterChart>
      <c:valAx>
        <c:axId val="9474774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Attendance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410362"/>
        <c:crosses val="autoZero"/>
        <c:crossBetween val="midCat"/>
      </c:valAx>
      <c:valAx>
        <c:axId val="564103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Feedback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74774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Feedback vs Completion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"Feedback vs Completion %"</c:f>
              <c:strCache>
                <c:ptCount val="1"/>
                <c:pt idx="0">
                  <c:v>Feedback vs Completion %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Analyzer!$J$2:$J$101</c:f>
              <c:numCache>
                <c:formatCode>0.0</c:formatCode>
                <c:ptCount val="100"/>
                <c:pt idx="0">
                  <c:v>80</c:v>
                </c:pt>
                <c:pt idx="1">
                  <c:v>78</c:v>
                </c:pt>
                <c:pt idx="2">
                  <c:v>70</c:v>
                </c:pt>
                <c:pt idx="3">
                  <c:v>83</c:v>
                </c:pt>
                <c:pt idx="4">
                  <c:v>87</c:v>
                </c:pt>
                <c:pt idx="5">
                  <c:v>78</c:v>
                </c:pt>
                <c:pt idx="6">
                  <c:v>85</c:v>
                </c:pt>
                <c:pt idx="7">
                  <c:v>98</c:v>
                </c:pt>
                <c:pt idx="8">
                  <c:v>98</c:v>
                </c:pt>
                <c:pt idx="9">
                  <c:v>96</c:v>
                </c:pt>
                <c:pt idx="10">
                  <c:v>99</c:v>
                </c:pt>
                <c:pt idx="11">
                  <c:v>92</c:v>
                </c:pt>
                <c:pt idx="12">
                  <c:v>99</c:v>
                </c:pt>
                <c:pt idx="13">
                  <c:v>87</c:v>
                </c:pt>
                <c:pt idx="14">
                  <c:v>73</c:v>
                </c:pt>
                <c:pt idx="15">
                  <c:v>85</c:v>
                </c:pt>
                <c:pt idx="16">
                  <c:v>79</c:v>
                </c:pt>
                <c:pt idx="17">
                  <c:v>99</c:v>
                </c:pt>
                <c:pt idx="18">
                  <c:v>74</c:v>
                </c:pt>
                <c:pt idx="19">
                  <c:v>91</c:v>
                </c:pt>
                <c:pt idx="20">
                  <c:v>100</c:v>
                </c:pt>
                <c:pt idx="21">
                  <c:v>94</c:v>
                </c:pt>
                <c:pt idx="22">
                  <c:v>75</c:v>
                </c:pt>
                <c:pt idx="23">
                  <c:v>90</c:v>
                </c:pt>
                <c:pt idx="24">
                  <c:v>86</c:v>
                </c:pt>
                <c:pt idx="25">
                  <c:v>77</c:v>
                </c:pt>
                <c:pt idx="26">
                  <c:v>99</c:v>
                </c:pt>
                <c:pt idx="27">
                  <c:v>88</c:v>
                </c:pt>
                <c:pt idx="28">
                  <c:v>93</c:v>
                </c:pt>
                <c:pt idx="29">
                  <c:v>100</c:v>
                </c:pt>
                <c:pt idx="30">
                  <c:v>98</c:v>
                </c:pt>
                <c:pt idx="31">
                  <c:v>91</c:v>
                </c:pt>
                <c:pt idx="32">
                  <c:v>85</c:v>
                </c:pt>
                <c:pt idx="33">
                  <c:v>84</c:v>
                </c:pt>
                <c:pt idx="34">
                  <c:v>72</c:v>
                </c:pt>
                <c:pt idx="35">
                  <c:v>92</c:v>
                </c:pt>
                <c:pt idx="36">
                  <c:v>77</c:v>
                </c:pt>
                <c:pt idx="37">
                  <c:v>81</c:v>
                </c:pt>
                <c:pt idx="38">
                  <c:v>79</c:v>
                </c:pt>
                <c:pt idx="39">
                  <c:v>82</c:v>
                </c:pt>
                <c:pt idx="40">
                  <c:v>79</c:v>
                </c:pt>
                <c:pt idx="41">
                  <c:v>75</c:v>
                </c:pt>
                <c:pt idx="42">
                  <c:v>70</c:v>
                </c:pt>
                <c:pt idx="43">
                  <c:v>70</c:v>
                </c:pt>
                <c:pt idx="44">
                  <c:v>96</c:v>
                </c:pt>
                <c:pt idx="45">
                  <c:v>95</c:v>
                </c:pt>
                <c:pt idx="46">
                  <c:v>91</c:v>
                </c:pt>
                <c:pt idx="47">
                  <c:v>73</c:v>
                </c:pt>
                <c:pt idx="48">
                  <c:v>72</c:v>
                </c:pt>
                <c:pt idx="49">
                  <c:v>85</c:v>
                </c:pt>
                <c:pt idx="50">
                  <c:v>86</c:v>
                </c:pt>
                <c:pt idx="51">
                  <c:v>72</c:v>
                </c:pt>
                <c:pt idx="52">
                  <c:v>90</c:v>
                </c:pt>
                <c:pt idx="53">
                  <c:v>100</c:v>
                </c:pt>
                <c:pt idx="54">
                  <c:v>89</c:v>
                </c:pt>
                <c:pt idx="55">
                  <c:v>93</c:v>
                </c:pt>
                <c:pt idx="56">
                  <c:v>75</c:v>
                </c:pt>
                <c:pt idx="57">
                  <c:v>76</c:v>
                </c:pt>
                <c:pt idx="58">
                  <c:v>97</c:v>
                </c:pt>
                <c:pt idx="59">
                  <c:v>77</c:v>
                </c:pt>
                <c:pt idx="60">
                  <c:v>72</c:v>
                </c:pt>
                <c:pt idx="61">
                  <c:v>100</c:v>
                </c:pt>
                <c:pt idx="62">
                  <c:v>77</c:v>
                </c:pt>
                <c:pt idx="63">
                  <c:v>77</c:v>
                </c:pt>
                <c:pt idx="64">
                  <c:v>86</c:v>
                </c:pt>
                <c:pt idx="65">
                  <c:v>90</c:v>
                </c:pt>
                <c:pt idx="66">
                  <c:v>99</c:v>
                </c:pt>
                <c:pt idx="67">
                  <c:v>83</c:v>
                </c:pt>
                <c:pt idx="68">
                  <c:v>87</c:v>
                </c:pt>
                <c:pt idx="69">
                  <c:v>72</c:v>
                </c:pt>
                <c:pt idx="70">
                  <c:v>84</c:v>
                </c:pt>
                <c:pt idx="71">
                  <c:v>89</c:v>
                </c:pt>
                <c:pt idx="72">
                  <c:v>71</c:v>
                </c:pt>
                <c:pt idx="73">
                  <c:v>89</c:v>
                </c:pt>
                <c:pt idx="74">
                  <c:v>73</c:v>
                </c:pt>
                <c:pt idx="75">
                  <c:v>94</c:v>
                </c:pt>
                <c:pt idx="76">
                  <c:v>73</c:v>
                </c:pt>
                <c:pt idx="77">
                  <c:v>70</c:v>
                </c:pt>
                <c:pt idx="78">
                  <c:v>88</c:v>
                </c:pt>
                <c:pt idx="79">
                  <c:v>83</c:v>
                </c:pt>
                <c:pt idx="80">
                  <c:v>100</c:v>
                </c:pt>
                <c:pt idx="81">
                  <c:v>89</c:v>
                </c:pt>
                <c:pt idx="82">
                  <c:v>83</c:v>
                </c:pt>
                <c:pt idx="83">
                  <c:v>84</c:v>
                </c:pt>
                <c:pt idx="84">
                  <c:v>75</c:v>
                </c:pt>
                <c:pt idx="85">
                  <c:v>78</c:v>
                </c:pt>
                <c:pt idx="86">
                  <c:v>72</c:v>
                </c:pt>
                <c:pt idx="87">
                  <c:v>74</c:v>
                </c:pt>
                <c:pt idx="88">
                  <c:v>100</c:v>
                </c:pt>
                <c:pt idx="89">
                  <c:v>76</c:v>
                </c:pt>
                <c:pt idx="90">
                  <c:v>72</c:v>
                </c:pt>
                <c:pt idx="91">
                  <c:v>90</c:v>
                </c:pt>
                <c:pt idx="92">
                  <c:v>90</c:v>
                </c:pt>
                <c:pt idx="93">
                  <c:v>77</c:v>
                </c:pt>
                <c:pt idx="94">
                  <c:v>89</c:v>
                </c:pt>
                <c:pt idx="95">
                  <c:v>85</c:v>
                </c:pt>
                <c:pt idx="96">
                  <c:v>91</c:v>
                </c:pt>
                <c:pt idx="97">
                  <c:v>79</c:v>
                </c:pt>
                <c:pt idx="98">
                  <c:v>75</c:v>
                </c:pt>
                <c:pt idx="99">
                  <c:v>88</c:v>
                </c:pt>
              </c:numCache>
            </c:numRef>
          </c:xVal>
          <c:yVal>
            <c:numRef>
              <c:f>Analyzer!$H$2:$H$101</c:f>
              <c:numCache>
                <c:formatCode>0.00</c:formatCode>
                <c:ptCount val="100"/>
                <c:pt idx="0">
                  <c:v>3.04</c:v>
                </c:pt>
                <c:pt idx="1">
                  <c:v>4.81</c:v>
                </c:pt>
                <c:pt idx="2">
                  <c:v>4.07</c:v>
                </c:pt>
                <c:pt idx="3">
                  <c:v>4.53</c:v>
                </c:pt>
                <c:pt idx="4">
                  <c:v>3.8</c:v>
                </c:pt>
                <c:pt idx="5">
                  <c:v>3.78</c:v>
                </c:pt>
                <c:pt idx="6">
                  <c:v>3.35</c:v>
                </c:pt>
                <c:pt idx="7">
                  <c:v>4.95</c:v>
                </c:pt>
                <c:pt idx="8">
                  <c:v>3.05</c:v>
                </c:pt>
                <c:pt idx="9">
                  <c:v>4.51</c:v>
                </c:pt>
                <c:pt idx="10">
                  <c:v>4.27</c:v>
                </c:pt>
                <c:pt idx="11">
                  <c:v>4.04</c:v>
                </c:pt>
                <c:pt idx="12">
                  <c:v>3.32</c:v>
                </c:pt>
                <c:pt idx="13">
                  <c:v>4.94</c:v>
                </c:pt>
                <c:pt idx="14">
                  <c:v>4.35</c:v>
                </c:pt>
                <c:pt idx="15">
                  <c:v>3.99</c:v>
                </c:pt>
                <c:pt idx="16">
                  <c:v>4.23</c:v>
                </c:pt>
                <c:pt idx="17">
                  <c:v>3.24</c:v>
                </c:pt>
                <c:pt idx="18">
                  <c:v>4.53</c:v>
                </c:pt>
                <c:pt idx="19">
                  <c:v>4.29</c:v>
                </c:pt>
                <c:pt idx="20">
                  <c:v>3.01</c:v>
                </c:pt>
                <c:pt idx="21">
                  <c:v>3.59</c:v>
                </c:pt>
                <c:pt idx="22">
                  <c:v>4.85</c:v>
                </c:pt>
                <c:pt idx="23">
                  <c:v>4.45</c:v>
                </c:pt>
                <c:pt idx="24">
                  <c:v>4.3</c:v>
                </c:pt>
                <c:pt idx="25">
                  <c:v>4.06</c:v>
                </c:pt>
                <c:pt idx="26">
                  <c:v>4.92</c:v>
                </c:pt>
                <c:pt idx="27">
                  <c:v>3.74</c:v>
                </c:pt>
                <c:pt idx="28">
                  <c:v>3.28</c:v>
                </c:pt>
                <c:pt idx="29">
                  <c:v>3.64</c:v>
                </c:pt>
                <c:pt idx="30">
                  <c:v>4.38</c:v>
                </c:pt>
                <c:pt idx="31">
                  <c:v>3.12</c:v>
                </c:pt>
                <c:pt idx="32">
                  <c:v>4.03</c:v>
                </c:pt>
                <c:pt idx="33">
                  <c:v>4.45</c:v>
                </c:pt>
                <c:pt idx="34">
                  <c:v>3.37</c:v>
                </c:pt>
                <c:pt idx="35">
                  <c:v>3.99</c:v>
                </c:pt>
                <c:pt idx="36">
                  <c:v>4.99</c:v>
                </c:pt>
                <c:pt idx="37">
                  <c:v>4.21</c:v>
                </c:pt>
                <c:pt idx="38">
                  <c:v>3.18</c:v>
                </c:pt>
                <c:pt idx="39">
                  <c:v>3.82</c:v>
                </c:pt>
                <c:pt idx="40">
                  <c:v>4.42</c:v>
                </c:pt>
                <c:pt idx="41">
                  <c:v>4.37</c:v>
                </c:pt>
                <c:pt idx="42">
                  <c:v>4.99</c:v>
                </c:pt>
                <c:pt idx="43">
                  <c:v>3.17</c:v>
                </c:pt>
                <c:pt idx="44">
                  <c:v>3.13</c:v>
                </c:pt>
                <c:pt idx="45">
                  <c:v>3.63</c:v>
                </c:pt>
                <c:pt idx="46">
                  <c:v>4.3</c:v>
                </c:pt>
                <c:pt idx="47">
                  <c:v>3.23</c:v>
                </c:pt>
                <c:pt idx="48">
                  <c:v>3.28</c:v>
                </c:pt>
                <c:pt idx="49">
                  <c:v>3.98</c:v>
                </c:pt>
                <c:pt idx="50">
                  <c:v>3.31</c:v>
                </c:pt>
                <c:pt idx="51">
                  <c:v>3.75</c:v>
                </c:pt>
                <c:pt idx="52">
                  <c:v>4.49</c:v>
                </c:pt>
                <c:pt idx="53">
                  <c:v>4.68</c:v>
                </c:pt>
                <c:pt idx="54">
                  <c:v>4.83</c:v>
                </c:pt>
                <c:pt idx="55">
                  <c:v>4.41</c:v>
                </c:pt>
                <c:pt idx="56">
                  <c:v>3.71</c:v>
                </c:pt>
                <c:pt idx="57">
                  <c:v>3.31</c:v>
                </c:pt>
                <c:pt idx="58">
                  <c:v>3.56</c:v>
                </c:pt>
                <c:pt idx="59">
                  <c:v>4.43</c:v>
                </c:pt>
                <c:pt idx="60">
                  <c:v>4.88</c:v>
                </c:pt>
                <c:pt idx="61">
                  <c:v>3.71</c:v>
                </c:pt>
                <c:pt idx="62">
                  <c:v>4.47</c:v>
                </c:pt>
                <c:pt idx="63">
                  <c:v>3.79</c:v>
                </c:pt>
                <c:pt idx="64">
                  <c:v>3.72</c:v>
                </c:pt>
                <c:pt idx="65">
                  <c:v>4.14</c:v>
                </c:pt>
                <c:pt idx="66">
                  <c:v>3.84</c:v>
                </c:pt>
                <c:pt idx="67">
                  <c:v>4.87</c:v>
                </c:pt>
                <c:pt idx="68">
                  <c:v>4.41</c:v>
                </c:pt>
                <c:pt idx="69">
                  <c:v>4.39</c:v>
                </c:pt>
                <c:pt idx="70">
                  <c:v>4.06</c:v>
                </c:pt>
                <c:pt idx="71">
                  <c:v>4.26</c:v>
                </c:pt>
                <c:pt idx="72">
                  <c:v>4.25</c:v>
                </c:pt>
                <c:pt idx="73">
                  <c:v>4.72</c:v>
                </c:pt>
                <c:pt idx="74">
                  <c:v>4.3</c:v>
                </c:pt>
                <c:pt idx="75">
                  <c:v>3.88</c:v>
                </c:pt>
                <c:pt idx="76">
                  <c:v>3.63</c:v>
                </c:pt>
                <c:pt idx="77">
                  <c:v>4.53</c:v>
                </c:pt>
                <c:pt idx="78">
                  <c:v>4.88</c:v>
                </c:pt>
                <c:pt idx="79">
                  <c:v>3.24</c:v>
                </c:pt>
                <c:pt idx="80">
                  <c:v>3.18</c:v>
                </c:pt>
                <c:pt idx="81">
                  <c:v>3.43</c:v>
                </c:pt>
                <c:pt idx="82">
                  <c:v>4.92</c:v>
                </c:pt>
                <c:pt idx="83">
                  <c:v>4.37</c:v>
                </c:pt>
                <c:pt idx="84">
                  <c:v>4.17</c:v>
                </c:pt>
                <c:pt idx="85">
                  <c:v>3.24</c:v>
                </c:pt>
                <c:pt idx="86">
                  <c:v>4.64</c:v>
                </c:pt>
                <c:pt idx="87">
                  <c:v>3.18</c:v>
                </c:pt>
                <c:pt idx="88">
                  <c:v>3.99</c:v>
                </c:pt>
                <c:pt idx="89">
                  <c:v>3.95</c:v>
                </c:pt>
                <c:pt idx="90">
                  <c:v>4.58</c:v>
                </c:pt>
                <c:pt idx="91">
                  <c:v>3.62</c:v>
                </c:pt>
                <c:pt idx="92">
                  <c:v>4.96</c:v>
                </c:pt>
                <c:pt idx="93">
                  <c:v>4.08</c:v>
                </c:pt>
                <c:pt idx="94">
                  <c:v>3.64</c:v>
                </c:pt>
                <c:pt idx="95">
                  <c:v>4.21</c:v>
                </c:pt>
                <c:pt idx="96">
                  <c:v>3.61</c:v>
                </c:pt>
                <c:pt idx="97">
                  <c:v>3.71</c:v>
                </c:pt>
                <c:pt idx="98">
                  <c:v>3.32</c:v>
                </c:pt>
                <c:pt idx="99">
                  <c:v>4.31</c:v>
                </c:pt>
              </c:numCache>
            </c:numRef>
          </c:yVal>
          <c:smooth val="1"/>
        </c:ser>
        <c:axId val="20172166"/>
        <c:axId val="93830395"/>
      </c:scatterChart>
      <c:valAx>
        <c:axId val="201721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Completion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830395"/>
        <c:crosses val="autoZero"/>
        <c:crossBetween val="midCat"/>
      </c:valAx>
      <c:valAx>
        <c:axId val="938303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Feedback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17216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2</xdr:col>
      <xdr:colOff>906120</xdr:colOff>
      <xdr:row>19</xdr:row>
      <xdr:rowOff>43200</xdr:rowOff>
    </xdr:to>
    <xdr:graphicFrame>
      <xdr:nvGraphicFramePr>
        <xdr:cNvPr id="0" name="Chart 1"/>
        <xdr:cNvGraphicFramePr/>
      </xdr:nvGraphicFramePr>
      <xdr:xfrm>
        <a:off x="0" y="2228760"/>
        <a:ext cx="28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9</xdr:row>
      <xdr:rowOff>0</xdr:rowOff>
    </xdr:from>
    <xdr:to>
      <xdr:col>11</xdr:col>
      <xdr:colOff>279360</xdr:colOff>
      <xdr:row>19</xdr:row>
      <xdr:rowOff>43200</xdr:rowOff>
    </xdr:to>
    <xdr:graphicFrame>
      <xdr:nvGraphicFramePr>
        <xdr:cNvPr id="1" name="Chart 2"/>
        <xdr:cNvGraphicFramePr/>
      </xdr:nvGraphicFramePr>
      <xdr:xfrm>
        <a:off x="7894440" y="222876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3</xdr:col>
      <xdr:colOff>99360</xdr:colOff>
      <xdr:row>36</xdr:row>
      <xdr:rowOff>218880</xdr:rowOff>
    </xdr:to>
    <xdr:graphicFrame>
      <xdr:nvGraphicFramePr>
        <xdr:cNvPr id="2" name="Chart 3"/>
        <xdr:cNvGraphicFramePr/>
      </xdr:nvGraphicFramePr>
      <xdr:xfrm>
        <a:off x="0" y="6686640"/>
        <a:ext cx="3059640" cy="24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27</xdr:row>
      <xdr:rowOff>0</xdr:rowOff>
    </xdr:from>
    <xdr:to>
      <xdr:col>11</xdr:col>
      <xdr:colOff>99360</xdr:colOff>
      <xdr:row>36</xdr:row>
      <xdr:rowOff>218880</xdr:rowOff>
    </xdr:to>
    <xdr:graphicFrame>
      <xdr:nvGraphicFramePr>
        <xdr:cNvPr id="3" name="Chart 4"/>
        <xdr:cNvGraphicFramePr/>
      </xdr:nvGraphicFramePr>
      <xdr:xfrm>
        <a:off x="7894440" y="6686640"/>
        <a:ext cx="3059640" cy="24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44</xdr:row>
      <xdr:rowOff>0</xdr:rowOff>
    </xdr:from>
    <xdr:to>
      <xdr:col>3</xdr:col>
      <xdr:colOff>99360</xdr:colOff>
      <xdr:row>53</xdr:row>
      <xdr:rowOff>218520</xdr:rowOff>
    </xdr:to>
    <xdr:graphicFrame>
      <xdr:nvGraphicFramePr>
        <xdr:cNvPr id="4" name="Chart 5"/>
        <xdr:cNvGraphicFramePr/>
      </xdr:nvGraphicFramePr>
      <xdr:xfrm>
        <a:off x="0" y="10896480"/>
        <a:ext cx="3059640" cy="24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44</xdr:row>
      <xdr:rowOff>0</xdr:rowOff>
    </xdr:from>
    <xdr:to>
      <xdr:col>11</xdr:col>
      <xdr:colOff>99360</xdr:colOff>
      <xdr:row>53</xdr:row>
      <xdr:rowOff>218520</xdr:rowOff>
    </xdr:to>
    <xdr:graphicFrame>
      <xdr:nvGraphicFramePr>
        <xdr:cNvPr id="5" name="Chart 6"/>
        <xdr:cNvGraphicFramePr/>
      </xdr:nvGraphicFramePr>
      <xdr:xfrm>
        <a:off x="7894440" y="10896480"/>
        <a:ext cx="3059640" cy="24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3</xdr:col>
      <xdr:colOff>522000</xdr:colOff>
      <xdr:row>13</xdr:row>
      <xdr:rowOff>43200</xdr:rowOff>
    </xdr:to>
    <xdr:graphicFrame>
      <xdr:nvGraphicFramePr>
        <xdr:cNvPr id="6" name="Chart 1"/>
        <xdr:cNvGraphicFramePr/>
      </xdr:nvGraphicFramePr>
      <xdr:xfrm>
        <a:off x="0" y="743040"/>
        <a:ext cx="30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</xdr:row>
      <xdr:rowOff>0</xdr:rowOff>
    </xdr:from>
    <xdr:to>
      <xdr:col>12</xdr:col>
      <xdr:colOff>522360</xdr:colOff>
      <xdr:row>13</xdr:row>
      <xdr:rowOff>43200</xdr:rowOff>
    </xdr:to>
    <xdr:graphicFrame>
      <xdr:nvGraphicFramePr>
        <xdr:cNvPr id="7" name="Chart 2"/>
        <xdr:cNvGraphicFramePr/>
      </xdr:nvGraphicFramePr>
      <xdr:xfrm>
        <a:off x="7612560" y="743040"/>
        <a:ext cx="30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3</xdr:col>
      <xdr:colOff>522000</xdr:colOff>
      <xdr:row>33</xdr:row>
      <xdr:rowOff>43200</xdr:rowOff>
    </xdr:to>
    <xdr:graphicFrame>
      <xdr:nvGraphicFramePr>
        <xdr:cNvPr id="8" name="Chart 3"/>
        <xdr:cNvGraphicFramePr/>
      </xdr:nvGraphicFramePr>
      <xdr:xfrm>
        <a:off x="0" y="5695920"/>
        <a:ext cx="30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23</xdr:row>
      <xdr:rowOff>0</xdr:rowOff>
    </xdr:from>
    <xdr:to>
      <xdr:col>12</xdr:col>
      <xdr:colOff>522360</xdr:colOff>
      <xdr:row>33</xdr:row>
      <xdr:rowOff>43200</xdr:rowOff>
    </xdr:to>
    <xdr:graphicFrame>
      <xdr:nvGraphicFramePr>
        <xdr:cNvPr id="9" name="Chart 4"/>
        <xdr:cNvGraphicFramePr/>
      </xdr:nvGraphicFramePr>
      <xdr:xfrm>
        <a:off x="7612560" y="5695920"/>
        <a:ext cx="30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2" min="1" style="0" width="14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</row>
    <row r="3" customFormat="false" ht="19.5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  <c r="I4" s="7" t="s">
        <v>6</v>
      </c>
      <c r="J4" s="7"/>
      <c r="K4" s="8" t="s">
        <v>7</v>
      </c>
      <c r="L4" s="8"/>
    </row>
    <row r="5" customFormat="false" ht="19.5" hidden="false" customHeight="true" outlineLevel="0" collapsed="false">
      <c r="A5" s="9" t="n">
        <f aca="false">COUNTA(Analyzer!$A$2:$A$101)</f>
        <v>100</v>
      </c>
      <c r="B5" s="9"/>
      <c r="C5" s="10" t="n">
        <f aca="false">AVERAGE(Analyzer!$H$2:$H$101)</f>
        <v>4.0253</v>
      </c>
      <c r="D5" s="10"/>
      <c r="E5" s="11" t="n">
        <f aca="false">AVERAGE(Analyzer!$K$2:$K$101)</f>
        <v>4.1276</v>
      </c>
      <c r="F5" s="11"/>
      <c r="G5" s="12" t="n">
        <f aca="false">AVERAGE(Analyzer!$G$2:$G$101)</f>
        <v>32.65</v>
      </c>
      <c r="H5" s="12"/>
      <c r="I5" s="13" t="n">
        <f aca="false">COUNTIF(Analyzer!$H$2:$H$101,"&lt;"&amp;Controls!$B$5)</f>
        <v>47</v>
      </c>
      <c r="J5" s="13"/>
      <c r="K5" s="14" t="n">
        <f aca="false">COUNTIF(Analyzer!$Y$2:$Y$101,"High")</f>
        <v>24</v>
      </c>
      <c r="L5" s="14"/>
    </row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>
      <c r="A8" s="15" t="s">
        <v>8</v>
      </c>
    </row>
    <row r="9" customFormat="false" ht="19.5" hidden="false" customHeight="true" outlineLevel="0" collapsed="false"/>
    <row r="10" customFormat="false" ht="19.5" hidden="false" customHeight="true" outlineLevel="0" collapsed="false"/>
    <row r="11" customFormat="false" ht="19.5" hidden="false" customHeight="true" outlineLevel="0" collapsed="false"/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</sheetData>
  <mergeCells count="13">
    <mergeCell ref="A1:L1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8" min="1" style="0" width="12"/>
  </cols>
  <sheetData>
    <row r="1" customFormat="false" ht="19.5" hidden="false" customHeight="true" outlineLevel="0" collapsed="false">
      <c r="A1" s="16" t="s">
        <v>9</v>
      </c>
    </row>
    <row r="2" customFormat="false" ht="19.5" hidden="false" customHeight="true" outlineLevel="0" collapsed="false">
      <c r="A2" s="2" t="s">
        <v>10</v>
      </c>
    </row>
    <row r="3" customFormat="false" ht="19.5" hidden="false" customHeight="true" outlineLevel="0" collapsed="false"/>
    <row r="4" customFormat="false" ht="19.5" hidden="false" customHeight="true" outlineLevel="0" collapsed="false"/>
    <row r="5" customFormat="false" ht="19.5" hidden="false" customHeight="true" outlineLevel="0" collapsed="false"/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/>
    <row r="9" customFormat="false" ht="19.5" hidden="false" customHeight="true" outlineLevel="0" collapsed="false"/>
    <row r="10" customFormat="false" ht="19.5" hidden="false" customHeight="true" outlineLevel="0" collapsed="false"/>
    <row r="11" customFormat="false" ht="19.5" hidden="false" customHeight="true" outlineLevel="0" collapsed="false"/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10" min="8" style="0" width="13"/>
    <col collapsed="false" customWidth="true" hidden="false" outlineLevel="0" max="11" min="11" style="0" width="18"/>
    <col collapsed="false" customWidth="true" hidden="false" outlineLevel="0" max="13" min="12" style="0" width="13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6"/>
    <col collapsed="false" customWidth="true" hidden="false" outlineLevel="0" max="18" min="18" style="0" width="13"/>
    <col collapsed="false" customWidth="true" hidden="false" outlineLevel="0" max="20" min="19" style="0" width="14"/>
    <col collapsed="false" customWidth="true" hidden="false" outlineLevel="0" max="21" min="21" style="0" width="12"/>
    <col collapsed="false" customWidth="true" hidden="false" outlineLevel="0" max="22" min="22" style="0" width="15"/>
    <col collapsed="false" customWidth="true" hidden="false" outlineLevel="0" max="23" min="23" style="0" width="13"/>
    <col collapsed="false" customWidth="true" hidden="false" outlineLevel="0" max="25" min="24" style="0" width="12"/>
    <col collapsed="false" customWidth="true" hidden="false" outlineLevel="0" max="26" min="26" style="0" width="34"/>
  </cols>
  <sheetData>
    <row r="1" customFormat="false" ht="19.7" hidden="false" customHeight="false" outlineLevel="0" collapsed="false">
      <c r="A1" s="17" t="s">
        <v>11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customFormat="false" ht="15" hidden="false" customHeight="false" outlineLevel="0" collapsed="false">
      <c r="A2" s="18" t="str">
        <f aca="false">Source_Data!A2</f>
        <v>F001</v>
      </c>
      <c r="B2" s="18" t="str">
        <f aca="false">Source_Data!B2</f>
        <v>Faculty_1</v>
      </c>
      <c r="C2" s="18" t="str">
        <f aca="false">Source_Data!E2</f>
        <v>Management</v>
      </c>
      <c r="D2" s="18" t="str">
        <f aca="false">Source_Data!F2</f>
        <v>Assistant Professor</v>
      </c>
      <c r="E2" s="18" t="str">
        <f aca="false">Source_Data!G2</f>
        <v>Full-time</v>
      </c>
      <c r="F2" s="18" t="str">
        <f aca="false">Source_Data!K2</f>
        <v>Marketing</v>
      </c>
      <c r="G2" s="19" t="n">
        <f aca="false">Source_Data!Z2</f>
        <v>25</v>
      </c>
      <c r="H2" s="20" t="n">
        <f aca="false">Source_Data!AV2</f>
        <v>3.04</v>
      </c>
      <c r="I2" s="19" t="n">
        <f aca="false">Source_Data!AW2</f>
        <v>80</v>
      </c>
      <c r="J2" s="19" t="n">
        <f aca="false">Source_Data!AX2</f>
        <v>80</v>
      </c>
      <c r="K2" s="20" t="n">
        <f aca="false">Source_Data!AY2</f>
        <v>3.52</v>
      </c>
      <c r="L2" s="20" t="n">
        <f aca="false">Source_Data!AZ2</f>
        <v>0</v>
      </c>
      <c r="M2" s="20" t="n">
        <f aca="false">Source_Data!AO2</f>
        <v>8</v>
      </c>
      <c r="N2" s="20" t="n">
        <f aca="false">Source_Data!AP2</f>
        <v>7</v>
      </c>
      <c r="O2" s="20" t="n">
        <f aca="false">Source_Data!AR2</f>
        <v>3</v>
      </c>
      <c r="P2" s="20" t="n">
        <f aca="false">Source_Data!AU2</f>
        <v>4</v>
      </c>
      <c r="Q2" s="21" t="str">
        <f aca="false">IF(H2&lt;Controls!$B$4,"Critical",IF(H2&lt;Controls!$B$5,"Needs Support",IF(H2&lt;Controls!$B$6,"Good","Excellent")))</f>
        <v>Critical</v>
      </c>
      <c r="R2" s="21" t="str">
        <f aca="false">IF(G2&gt;Controls!$B$7,"High",IF(G2&lt;Controls!$B$8,"Low","Balanced"))</f>
        <v>Balanced</v>
      </c>
      <c r="S2" s="21" t="str">
        <f aca="false">IF(I2&lt;Controls!$B$9,"Yes","No")</f>
        <v>No</v>
      </c>
      <c r="T2" s="21" t="str">
        <f aca="false">IF(J2&lt;Controls!$B$10,"Yes","No")</f>
        <v>No</v>
      </c>
      <c r="U2" s="21" t="str">
        <f aca="false">IF(L2&lt;Controls!$B$11,"Yes","No")</f>
        <v>Yes</v>
      </c>
      <c r="V2" s="21" t="str">
        <f aca="false">IF(K2&lt;Controls!$B$12,"Yes","No")</f>
        <v>Yes</v>
      </c>
      <c r="W2" s="21" t="str">
        <f aca="false">IF(G2&gt;Controls!$B$7,"Yes","No")</f>
        <v>No</v>
      </c>
      <c r="X2" s="21" t="n">
        <f aca="false">COUNTIF(S2:W2,"Yes")</f>
        <v>2</v>
      </c>
      <c r="Y2" s="21" t="str">
        <f aca="false">IF(X2&gt;=3,"High",IF(X2=2,"Medium","Low"))</f>
        <v>Medium</v>
      </c>
      <c r="Z2" s="21" t="str">
        <f aca="false">IF(S2="Yes","Improve student attendance support",IF(T2="Yes","Accelerate course completion support",IF(U2="Yes","Increase faculty training/coaching",IF(V2="Yes","Target performance coaching",IF(W2="Yes","Rebalance teaching workload","Maintain current teaching plan")))))</f>
        <v>Increase faculty training/coaching</v>
      </c>
    </row>
    <row r="3" customFormat="false" ht="15" hidden="false" customHeight="false" outlineLevel="0" collapsed="false">
      <c r="A3" s="22" t="str">
        <f aca="false">Source_Data!A3</f>
        <v>F002</v>
      </c>
      <c r="B3" s="22" t="str">
        <f aca="false">Source_Data!B3</f>
        <v>Faculty_2</v>
      </c>
      <c r="C3" s="22" t="str">
        <f aca="false">Source_Data!E3</f>
        <v>Economics</v>
      </c>
      <c r="D3" s="22" t="str">
        <f aca="false">Source_Data!F3</f>
        <v>Lecturer</v>
      </c>
      <c r="E3" s="22" t="str">
        <f aca="false">Source_Data!G3</f>
        <v>Part-time</v>
      </c>
      <c r="F3" s="22" t="str">
        <f aca="false">Source_Data!K3</f>
        <v>Data Analytics</v>
      </c>
      <c r="G3" s="23" t="n">
        <f aca="false">Source_Data!Z3</f>
        <v>30</v>
      </c>
      <c r="H3" s="24" t="n">
        <f aca="false">Source_Data!AV3</f>
        <v>4.81</v>
      </c>
      <c r="I3" s="23" t="n">
        <f aca="false">Source_Data!AW3</f>
        <v>88</v>
      </c>
      <c r="J3" s="23" t="n">
        <f aca="false">Source_Data!AX3</f>
        <v>78</v>
      </c>
      <c r="K3" s="24" t="n">
        <f aca="false">Source_Data!AY3</f>
        <v>4.35</v>
      </c>
      <c r="L3" s="24" t="n">
        <f aca="false">Source_Data!AZ3</f>
        <v>8</v>
      </c>
      <c r="M3" s="24" t="n">
        <f aca="false">Source_Data!AO3</f>
        <v>2</v>
      </c>
      <c r="N3" s="24" t="n">
        <f aca="false">Source_Data!AP3</f>
        <v>1</v>
      </c>
      <c r="O3" s="24" t="n">
        <f aca="false">Source_Data!AR3</f>
        <v>5</v>
      </c>
      <c r="P3" s="24" t="n">
        <f aca="false">Source_Data!AU3</f>
        <v>6</v>
      </c>
      <c r="Q3" s="25" t="str">
        <f aca="false">IF(H3&lt;Controls!$B$4,"Critical",IF(H3&lt;Controls!$B$5,"Needs Support",IF(H3&lt;Controls!$B$6,"Good","Excellent")))</f>
        <v>Excellent</v>
      </c>
      <c r="R3" s="25" t="str">
        <f aca="false">IF(G3&gt;Controls!$B$7,"High",IF(G3&lt;Controls!$B$8,"Low","Balanced"))</f>
        <v>Balanced</v>
      </c>
      <c r="S3" s="25" t="str">
        <f aca="false">IF(I3&lt;Controls!$B$9,"Yes","No")</f>
        <v>No</v>
      </c>
      <c r="T3" s="25" t="str">
        <f aca="false">IF(J3&lt;Controls!$B$10,"Yes","No")</f>
        <v>Yes</v>
      </c>
      <c r="U3" s="25" t="str">
        <f aca="false">IF(L3&lt;Controls!$B$11,"Yes","No")</f>
        <v>No</v>
      </c>
      <c r="V3" s="25" t="str">
        <f aca="false">IF(K3&lt;Controls!$B$12,"Yes","No")</f>
        <v>No</v>
      </c>
      <c r="W3" s="25" t="str">
        <f aca="false">IF(G3&gt;Controls!$B$7,"Yes","No")</f>
        <v>No</v>
      </c>
      <c r="X3" s="25" t="n">
        <f aca="false">COUNTIF(S3:W3,"Yes")</f>
        <v>1</v>
      </c>
      <c r="Y3" s="25" t="str">
        <f aca="false">IF(X3&gt;=3,"High",IF(X3=2,"Medium","Low"))</f>
        <v>Low</v>
      </c>
      <c r="Z3" s="25" t="str">
        <f aca="false">IF(S3="Yes","Improve student attendance support",IF(T3="Yes","Accelerate course completion support",IF(U3="Yes","Increase faculty training/coaching",IF(V3="Yes","Target performance coaching",IF(W3="Yes","Rebalance teaching workload","Maintain current teaching plan")))))</f>
        <v>Accelerate course completion support</v>
      </c>
    </row>
    <row r="4" customFormat="false" ht="15" hidden="false" customHeight="false" outlineLevel="0" collapsed="false">
      <c r="A4" s="22" t="str">
        <f aca="false">Source_Data!A4</f>
        <v>F003</v>
      </c>
      <c r="B4" s="22" t="str">
        <f aca="false">Source_Data!B4</f>
        <v>Faculty_3</v>
      </c>
      <c r="C4" s="22" t="str">
        <f aca="false">Source_Data!E4</f>
        <v>Economics</v>
      </c>
      <c r="D4" s="22" t="str">
        <f aca="false">Source_Data!F4</f>
        <v>Lecturer</v>
      </c>
      <c r="E4" s="22" t="str">
        <f aca="false">Source_Data!G4</f>
        <v>Part-time</v>
      </c>
      <c r="F4" s="22" t="str">
        <f aca="false">Source_Data!K4</f>
        <v>Data Analytics</v>
      </c>
      <c r="G4" s="23" t="n">
        <f aca="false">Source_Data!Z4</f>
        <v>40</v>
      </c>
      <c r="H4" s="24" t="n">
        <f aca="false">Source_Data!AV4</f>
        <v>4.07</v>
      </c>
      <c r="I4" s="23" t="n">
        <f aca="false">Source_Data!AW4</f>
        <v>88</v>
      </c>
      <c r="J4" s="23" t="n">
        <f aca="false">Source_Data!AX4</f>
        <v>70</v>
      </c>
      <c r="K4" s="24" t="n">
        <f aca="false">Source_Data!AY4</f>
        <v>3.79</v>
      </c>
      <c r="L4" s="24" t="n">
        <f aca="false">Source_Data!AZ4</f>
        <v>16</v>
      </c>
      <c r="M4" s="24" t="n">
        <f aca="false">Source_Data!AO4</f>
        <v>7</v>
      </c>
      <c r="N4" s="24" t="n">
        <f aca="false">Source_Data!AP4</f>
        <v>0</v>
      </c>
      <c r="O4" s="24" t="n">
        <f aca="false">Source_Data!AR4</f>
        <v>2</v>
      </c>
      <c r="P4" s="24" t="n">
        <f aca="false">Source_Data!AU4</f>
        <v>5</v>
      </c>
      <c r="Q4" s="25" t="str">
        <f aca="false">IF(H4&lt;Controls!$B$4,"Critical",IF(H4&lt;Controls!$B$5,"Needs Support",IF(H4&lt;Controls!$B$6,"Good","Excellent")))</f>
        <v>Good</v>
      </c>
      <c r="R4" s="25" t="str">
        <f aca="false">IF(G4&gt;Controls!$B$7,"High",IF(G4&lt;Controls!$B$8,"Low","Balanced"))</f>
        <v>Balanced</v>
      </c>
      <c r="S4" s="25" t="str">
        <f aca="false">IF(I4&lt;Controls!$B$9,"Yes","No")</f>
        <v>No</v>
      </c>
      <c r="T4" s="25" t="str">
        <f aca="false">IF(J4&lt;Controls!$B$10,"Yes","No")</f>
        <v>Yes</v>
      </c>
      <c r="U4" s="25" t="str">
        <f aca="false">IF(L4&lt;Controls!$B$11,"Yes","No")</f>
        <v>No</v>
      </c>
      <c r="V4" s="25" t="str">
        <f aca="false">IF(K4&lt;Controls!$B$12,"Yes","No")</f>
        <v>Yes</v>
      </c>
      <c r="W4" s="25" t="str">
        <f aca="false">IF(G4&gt;Controls!$B$7,"Yes","No")</f>
        <v>No</v>
      </c>
      <c r="X4" s="25" t="n">
        <f aca="false">COUNTIF(S4:W4,"Yes")</f>
        <v>2</v>
      </c>
      <c r="Y4" s="25" t="str">
        <f aca="false">IF(X4&gt;=3,"High",IF(X4=2,"Medium","Low"))</f>
        <v>Medium</v>
      </c>
      <c r="Z4" s="25" t="str">
        <f aca="false">IF(S4="Yes","Improve student attendance support",IF(T4="Yes","Accelerate course completion support",IF(U4="Yes","Increase faculty training/coaching",IF(V4="Yes","Target performance coaching",IF(W4="Yes","Rebalance teaching workload","Maintain current teaching plan")))))</f>
        <v>Accelerate course completion support</v>
      </c>
    </row>
    <row r="5" customFormat="false" ht="15" hidden="false" customHeight="false" outlineLevel="0" collapsed="false">
      <c r="A5" s="22" t="str">
        <f aca="false">Source_Data!A5</f>
        <v>F004</v>
      </c>
      <c r="B5" s="22" t="str">
        <f aca="false">Source_Data!B5</f>
        <v>Faculty_4</v>
      </c>
      <c r="C5" s="22" t="str">
        <f aca="false">Source_Data!E5</f>
        <v>Commerce</v>
      </c>
      <c r="D5" s="22" t="str">
        <f aca="false">Source_Data!F5</f>
        <v>Professor</v>
      </c>
      <c r="E5" s="22" t="str">
        <f aca="false">Source_Data!G5</f>
        <v>Part-time</v>
      </c>
      <c r="F5" s="22" t="str">
        <f aca="false">Source_Data!K5</f>
        <v>Marketing</v>
      </c>
      <c r="G5" s="23" t="n">
        <f aca="false">Source_Data!Z5</f>
        <v>25</v>
      </c>
      <c r="H5" s="24" t="n">
        <f aca="false">Source_Data!AV5</f>
        <v>4.53</v>
      </c>
      <c r="I5" s="23" t="n">
        <f aca="false">Source_Data!AW5</f>
        <v>85</v>
      </c>
      <c r="J5" s="23" t="n">
        <f aca="false">Source_Data!AX5</f>
        <v>83</v>
      </c>
      <c r="K5" s="24" t="n">
        <f aca="false">Source_Data!AY5</f>
        <v>4.34</v>
      </c>
      <c r="L5" s="24" t="n">
        <f aca="false">Source_Data!AZ5</f>
        <v>15</v>
      </c>
      <c r="M5" s="24" t="n">
        <f aca="false">Source_Data!AO5</f>
        <v>10</v>
      </c>
      <c r="N5" s="24" t="n">
        <f aca="false">Source_Data!AP5</f>
        <v>4</v>
      </c>
      <c r="O5" s="24" t="n">
        <f aca="false">Source_Data!AR5</f>
        <v>3</v>
      </c>
      <c r="P5" s="24" t="n">
        <f aca="false">Source_Data!AU5</f>
        <v>6</v>
      </c>
      <c r="Q5" s="25" t="str">
        <f aca="false">IF(H5&lt;Controls!$B$4,"Critical",IF(H5&lt;Controls!$B$5,"Needs Support",IF(H5&lt;Controls!$B$6,"Good","Excellent")))</f>
        <v>Excellent</v>
      </c>
      <c r="R5" s="25" t="str">
        <f aca="false">IF(G5&gt;Controls!$B$7,"High",IF(G5&lt;Controls!$B$8,"Low","Balanced"))</f>
        <v>Balanced</v>
      </c>
      <c r="S5" s="25" t="str">
        <f aca="false">IF(I5&lt;Controls!$B$9,"Yes","No")</f>
        <v>No</v>
      </c>
      <c r="T5" s="25" t="str">
        <f aca="false">IF(J5&lt;Controls!$B$10,"Yes","No")</f>
        <v>No</v>
      </c>
      <c r="U5" s="25" t="str">
        <f aca="false">IF(L5&lt;Controls!$B$11,"Yes","No")</f>
        <v>No</v>
      </c>
      <c r="V5" s="25" t="str">
        <f aca="false">IF(K5&lt;Controls!$B$12,"Yes","No")</f>
        <v>No</v>
      </c>
      <c r="W5" s="25" t="str">
        <f aca="false">IF(G5&gt;Controls!$B$7,"Yes","No")</f>
        <v>No</v>
      </c>
      <c r="X5" s="25" t="n">
        <f aca="false">COUNTIF(S5:W5,"Yes")</f>
        <v>0</v>
      </c>
      <c r="Y5" s="25" t="str">
        <f aca="false">IF(X5&gt;=3,"High",IF(X5=2,"Medium","Low"))</f>
        <v>Low</v>
      </c>
      <c r="Z5" s="25" t="str">
        <f aca="false">IF(S5="Yes","Improve student attendance support",IF(T5="Yes","Accelerate course completion support",IF(U5="Yes","Increase faculty training/coaching",IF(V5="Yes","Target performance coaching",IF(W5="Yes","Rebalance teaching workload","Maintain current teaching plan")))))</f>
        <v>Maintain current teaching plan</v>
      </c>
    </row>
    <row r="6" customFormat="false" ht="15" hidden="false" customHeight="false" outlineLevel="0" collapsed="false">
      <c r="A6" s="22" t="str">
        <f aca="false">Source_Data!A6</f>
        <v>F005</v>
      </c>
      <c r="B6" s="22" t="str">
        <f aca="false">Source_Data!B6</f>
        <v>Faculty_5</v>
      </c>
      <c r="C6" s="22" t="str">
        <f aca="false">Source_Data!E6</f>
        <v>Commerce</v>
      </c>
      <c r="D6" s="22" t="str">
        <f aca="false">Source_Data!F6</f>
        <v>Professor</v>
      </c>
      <c r="E6" s="22" t="str">
        <f aca="false">Source_Data!G6</f>
        <v>Part-time</v>
      </c>
      <c r="F6" s="22" t="str">
        <f aca="false">Source_Data!K6</f>
        <v>Business Statistics</v>
      </c>
      <c r="G6" s="23" t="n">
        <f aca="false">Source_Data!Z6</f>
        <v>25</v>
      </c>
      <c r="H6" s="24" t="n">
        <f aca="false">Source_Data!AV6</f>
        <v>3.8</v>
      </c>
      <c r="I6" s="23" t="n">
        <f aca="false">Source_Data!AW6</f>
        <v>77</v>
      </c>
      <c r="J6" s="23" t="n">
        <f aca="false">Source_Data!AX6</f>
        <v>87</v>
      </c>
      <c r="K6" s="24" t="n">
        <f aca="false">Source_Data!AY6</f>
        <v>4.07</v>
      </c>
      <c r="L6" s="24" t="n">
        <f aca="false">Source_Data!AZ6</f>
        <v>14</v>
      </c>
      <c r="M6" s="24" t="n">
        <f aca="false">Source_Data!AO6</f>
        <v>0</v>
      </c>
      <c r="N6" s="24" t="n">
        <f aca="false">Source_Data!AP6</f>
        <v>4</v>
      </c>
      <c r="O6" s="24" t="n">
        <f aca="false">Source_Data!AR6</f>
        <v>5</v>
      </c>
      <c r="P6" s="24" t="n">
        <f aca="false">Source_Data!AU6</f>
        <v>1</v>
      </c>
      <c r="Q6" s="25" t="str">
        <f aca="false">IF(H6&lt;Controls!$B$4,"Critical",IF(H6&lt;Controls!$B$5,"Needs Support",IF(H6&lt;Controls!$B$6,"Good","Excellent")))</f>
        <v>Needs Support</v>
      </c>
      <c r="R6" s="25" t="str">
        <f aca="false">IF(G6&gt;Controls!$B$7,"High",IF(G6&lt;Controls!$B$8,"Low","Balanced"))</f>
        <v>Balanced</v>
      </c>
      <c r="S6" s="25" t="str">
        <f aca="false">IF(I6&lt;Controls!$B$9,"Yes","No")</f>
        <v>No</v>
      </c>
      <c r="T6" s="25" t="str">
        <f aca="false">IF(J6&lt;Controls!$B$10,"Yes","No")</f>
        <v>No</v>
      </c>
      <c r="U6" s="25" t="str">
        <f aca="false">IF(L6&lt;Controls!$B$11,"Yes","No")</f>
        <v>No</v>
      </c>
      <c r="V6" s="25" t="str">
        <f aca="false">IF(K6&lt;Controls!$B$12,"Yes","No")</f>
        <v>No</v>
      </c>
      <c r="W6" s="25" t="str">
        <f aca="false">IF(G6&gt;Controls!$B$7,"Yes","No")</f>
        <v>No</v>
      </c>
      <c r="X6" s="25" t="n">
        <f aca="false">COUNTIF(S6:W6,"Yes")</f>
        <v>0</v>
      </c>
      <c r="Y6" s="25" t="str">
        <f aca="false">IF(X6&gt;=3,"High",IF(X6=2,"Medium","Low"))</f>
        <v>Low</v>
      </c>
      <c r="Z6" s="25" t="str">
        <f aca="false">IF(S6="Yes","Improve student attendance support",IF(T6="Yes","Accelerate course completion support",IF(U6="Yes","Increase faculty training/coaching",IF(V6="Yes","Target performance coaching",IF(W6="Yes","Rebalance teaching workload","Maintain current teaching plan")))))</f>
        <v>Maintain current teaching plan</v>
      </c>
    </row>
    <row r="7" customFormat="false" ht="15" hidden="false" customHeight="false" outlineLevel="0" collapsed="false">
      <c r="A7" s="22" t="str">
        <f aca="false">Source_Data!A7</f>
        <v>F006</v>
      </c>
      <c r="B7" s="22" t="str">
        <f aca="false">Source_Data!B7</f>
        <v>Faculty_6</v>
      </c>
      <c r="C7" s="22" t="str">
        <f aca="false">Source_Data!E7</f>
        <v>Computer Science</v>
      </c>
      <c r="D7" s="22" t="str">
        <f aca="false">Source_Data!F7</f>
        <v>Lecturer</v>
      </c>
      <c r="E7" s="22" t="str">
        <f aca="false">Source_Data!G7</f>
        <v>Visiting</v>
      </c>
      <c r="F7" s="22" t="str">
        <f aca="false">Source_Data!K7</f>
        <v>Financial Management</v>
      </c>
      <c r="G7" s="23" t="n">
        <f aca="false">Source_Data!Z7</f>
        <v>20</v>
      </c>
      <c r="H7" s="24" t="n">
        <f aca="false">Source_Data!AV7</f>
        <v>3.78</v>
      </c>
      <c r="I7" s="23" t="n">
        <f aca="false">Source_Data!AW7</f>
        <v>96</v>
      </c>
      <c r="J7" s="23" t="n">
        <f aca="false">Source_Data!AX7</f>
        <v>78</v>
      </c>
      <c r="K7" s="24" t="n">
        <f aca="false">Source_Data!AY7</f>
        <v>3.84</v>
      </c>
      <c r="L7" s="24" t="n">
        <f aca="false">Source_Data!AZ7</f>
        <v>4</v>
      </c>
      <c r="M7" s="24" t="n">
        <f aca="false">Source_Data!AO7</f>
        <v>7</v>
      </c>
      <c r="N7" s="24" t="n">
        <f aca="false">Source_Data!AP7</f>
        <v>3</v>
      </c>
      <c r="O7" s="24" t="n">
        <f aca="false">Source_Data!AR7</f>
        <v>1</v>
      </c>
      <c r="P7" s="24" t="n">
        <f aca="false">Source_Data!AU7</f>
        <v>1</v>
      </c>
      <c r="Q7" s="25" t="str">
        <f aca="false">IF(H7&lt;Controls!$B$4,"Critical",IF(H7&lt;Controls!$B$5,"Needs Support",IF(H7&lt;Controls!$B$6,"Good","Excellent")))</f>
        <v>Needs Support</v>
      </c>
      <c r="R7" s="25" t="str">
        <f aca="false">IF(G7&gt;Controls!$B$7,"High",IF(G7&lt;Controls!$B$8,"Low","Balanced"))</f>
        <v>Low</v>
      </c>
      <c r="S7" s="25" t="str">
        <f aca="false">IF(I7&lt;Controls!$B$9,"Yes","No")</f>
        <v>No</v>
      </c>
      <c r="T7" s="25" t="str">
        <f aca="false">IF(J7&lt;Controls!$B$10,"Yes","No")</f>
        <v>Yes</v>
      </c>
      <c r="U7" s="25" t="str">
        <f aca="false">IF(L7&lt;Controls!$B$11,"Yes","No")</f>
        <v>Yes</v>
      </c>
      <c r="V7" s="25" t="str">
        <f aca="false">IF(K7&lt;Controls!$B$12,"Yes","No")</f>
        <v>Yes</v>
      </c>
      <c r="W7" s="25" t="str">
        <f aca="false">IF(G7&gt;Controls!$B$7,"Yes","No")</f>
        <v>No</v>
      </c>
      <c r="X7" s="25" t="n">
        <f aca="false">COUNTIF(S7:W7,"Yes")</f>
        <v>3</v>
      </c>
      <c r="Y7" s="25" t="str">
        <f aca="false">IF(X7&gt;=3,"High",IF(X7=2,"Medium","Low"))</f>
        <v>High</v>
      </c>
      <c r="Z7" s="25" t="str">
        <f aca="false">IF(S7="Yes","Improve student attendance support",IF(T7="Yes","Accelerate course completion support",IF(U7="Yes","Increase faculty training/coaching",IF(V7="Yes","Target performance coaching",IF(W7="Yes","Rebalance teaching workload","Maintain current teaching plan")))))</f>
        <v>Accelerate course completion support</v>
      </c>
    </row>
    <row r="8" customFormat="false" ht="15" hidden="false" customHeight="false" outlineLevel="0" collapsed="false">
      <c r="A8" s="22" t="str">
        <f aca="false">Source_Data!A8</f>
        <v>F007</v>
      </c>
      <c r="B8" s="22" t="str">
        <f aca="false">Source_Data!B8</f>
        <v>Faculty_7</v>
      </c>
      <c r="C8" s="22" t="str">
        <f aca="false">Source_Data!E8</f>
        <v>Management</v>
      </c>
      <c r="D8" s="22" t="str">
        <f aca="false">Source_Data!F8</f>
        <v>Assistant Professor</v>
      </c>
      <c r="E8" s="22" t="str">
        <f aca="false">Source_Data!G8</f>
        <v>Visiting</v>
      </c>
      <c r="F8" s="22" t="str">
        <f aca="false">Source_Data!K8</f>
        <v>Marketing</v>
      </c>
      <c r="G8" s="23" t="n">
        <f aca="false">Source_Data!Z8</f>
        <v>30</v>
      </c>
      <c r="H8" s="24" t="n">
        <f aca="false">Source_Data!AV8</f>
        <v>3.35</v>
      </c>
      <c r="I8" s="23" t="n">
        <f aca="false">Source_Data!AW8</f>
        <v>84</v>
      </c>
      <c r="J8" s="23" t="n">
        <f aca="false">Source_Data!AX8</f>
        <v>85</v>
      </c>
      <c r="K8" s="24" t="n">
        <f aca="false">Source_Data!AY8</f>
        <v>3.8</v>
      </c>
      <c r="L8" s="24" t="n">
        <f aca="false">Source_Data!AZ8</f>
        <v>20</v>
      </c>
      <c r="M8" s="24" t="n">
        <f aca="false">Source_Data!AO8</f>
        <v>10</v>
      </c>
      <c r="N8" s="24" t="n">
        <f aca="false">Source_Data!AP8</f>
        <v>1</v>
      </c>
      <c r="O8" s="24" t="n">
        <f aca="false">Source_Data!AR8</f>
        <v>2</v>
      </c>
      <c r="P8" s="24" t="n">
        <f aca="false">Source_Data!AU8</f>
        <v>3</v>
      </c>
      <c r="Q8" s="25" t="str">
        <f aca="false">IF(H8&lt;Controls!$B$4,"Critical",IF(H8&lt;Controls!$B$5,"Needs Support",IF(H8&lt;Controls!$B$6,"Good","Excellent")))</f>
        <v>Critical</v>
      </c>
      <c r="R8" s="25" t="str">
        <f aca="false">IF(G8&gt;Controls!$B$7,"High",IF(G8&lt;Controls!$B$8,"Low","Balanced"))</f>
        <v>Balanced</v>
      </c>
      <c r="S8" s="25" t="str">
        <f aca="false">IF(I8&lt;Controls!$B$9,"Yes","No")</f>
        <v>No</v>
      </c>
      <c r="T8" s="25" t="str">
        <f aca="false">IF(J8&lt;Controls!$B$10,"Yes","No")</f>
        <v>No</v>
      </c>
      <c r="U8" s="25" t="str">
        <f aca="false">IF(L8&lt;Controls!$B$11,"Yes","No")</f>
        <v>No</v>
      </c>
      <c r="V8" s="25" t="str">
        <f aca="false">IF(K8&lt;Controls!$B$12,"Yes","No")</f>
        <v>Yes</v>
      </c>
      <c r="W8" s="25" t="str">
        <f aca="false">IF(G8&gt;Controls!$B$7,"Yes","No")</f>
        <v>No</v>
      </c>
      <c r="X8" s="25" t="n">
        <f aca="false">COUNTIF(S8:W8,"Yes")</f>
        <v>1</v>
      </c>
      <c r="Y8" s="25" t="str">
        <f aca="false">IF(X8&gt;=3,"High",IF(X8=2,"Medium","Low"))</f>
        <v>Low</v>
      </c>
      <c r="Z8" s="25" t="str">
        <f aca="false">IF(S8="Yes","Improve student attendance support",IF(T8="Yes","Accelerate course completion support",IF(U8="Yes","Increase faculty training/coaching",IF(V8="Yes","Target performance coaching",IF(W8="Yes","Rebalance teaching workload","Maintain current teaching plan")))))</f>
        <v>Target performance coaching</v>
      </c>
    </row>
    <row r="9" customFormat="false" ht="15" hidden="false" customHeight="false" outlineLevel="0" collapsed="false">
      <c r="A9" s="22" t="str">
        <f aca="false">Source_Data!A9</f>
        <v>F008</v>
      </c>
      <c r="B9" s="22" t="str">
        <f aca="false">Source_Data!B9</f>
        <v>Faculty_8</v>
      </c>
      <c r="C9" s="22" t="str">
        <f aca="false">Source_Data!E9</f>
        <v>Commerce</v>
      </c>
      <c r="D9" s="22" t="str">
        <f aca="false">Source_Data!F9</f>
        <v>Lecturer</v>
      </c>
      <c r="E9" s="22" t="str">
        <f aca="false">Source_Data!G9</f>
        <v>Part-time</v>
      </c>
      <c r="F9" s="22" t="str">
        <f aca="false">Source_Data!K9</f>
        <v>Business Statistics</v>
      </c>
      <c r="G9" s="23" t="n">
        <f aca="false">Source_Data!Z9</f>
        <v>45</v>
      </c>
      <c r="H9" s="24" t="n">
        <f aca="false">Source_Data!AV9</f>
        <v>4.95</v>
      </c>
      <c r="I9" s="23" t="n">
        <f aca="false">Source_Data!AW9</f>
        <v>60</v>
      </c>
      <c r="J9" s="23" t="n">
        <f aca="false">Source_Data!AX9</f>
        <v>98</v>
      </c>
      <c r="K9" s="24" t="n">
        <f aca="false">Source_Data!AY9</f>
        <v>4.93</v>
      </c>
      <c r="L9" s="24" t="n">
        <f aca="false">Source_Data!AZ9</f>
        <v>9</v>
      </c>
      <c r="M9" s="24" t="n">
        <f aca="false">Source_Data!AO9</f>
        <v>6</v>
      </c>
      <c r="N9" s="24" t="n">
        <f aca="false">Source_Data!AP9</f>
        <v>8</v>
      </c>
      <c r="O9" s="24" t="n">
        <f aca="false">Source_Data!AR9</f>
        <v>4</v>
      </c>
      <c r="P9" s="24" t="n">
        <f aca="false">Source_Data!AU9</f>
        <v>0</v>
      </c>
      <c r="Q9" s="25" t="str">
        <f aca="false">IF(H9&lt;Controls!$B$4,"Critical",IF(H9&lt;Controls!$B$5,"Needs Support",IF(H9&lt;Controls!$B$6,"Good","Excellent")))</f>
        <v>Excellent</v>
      </c>
      <c r="R9" s="25" t="str">
        <f aca="false">IF(G9&gt;Controls!$B$7,"High",IF(G9&lt;Controls!$B$8,"Low","Balanced"))</f>
        <v>High</v>
      </c>
      <c r="S9" s="25" t="str">
        <f aca="false">IF(I9&lt;Controls!$B$9,"Yes","No")</f>
        <v>Yes</v>
      </c>
      <c r="T9" s="25" t="str">
        <f aca="false">IF(J9&lt;Controls!$B$10,"Yes","No")</f>
        <v>No</v>
      </c>
      <c r="U9" s="25" t="str">
        <f aca="false">IF(L9&lt;Controls!$B$11,"Yes","No")</f>
        <v>No</v>
      </c>
      <c r="V9" s="25" t="str">
        <f aca="false">IF(K9&lt;Controls!$B$12,"Yes","No")</f>
        <v>No</v>
      </c>
      <c r="W9" s="25" t="str">
        <f aca="false">IF(G9&gt;Controls!$B$7,"Yes","No")</f>
        <v>Yes</v>
      </c>
      <c r="X9" s="25" t="n">
        <f aca="false">COUNTIF(S9:W9,"Yes")</f>
        <v>2</v>
      </c>
      <c r="Y9" s="25" t="str">
        <f aca="false">IF(X9&gt;=3,"High",IF(X9=2,"Medium","Low"))</f>
        <v>Medium</v>
      </c>
      <c r="Z9" s="25" t="str">
        <f aca="false">IF(S9="Yes","Improve student attendance support",IF(T9="Yes","Accelerate course completion support",IF(U9="Yes","Increase faculty training/coaching",IF(V9="Yes","Target performance coaching",IF(W9="Yes","Rebalance teaching workload","Maintain current teaching plan")))))</f>
        <v>Improve student attendance support</v>
      </c>
    </row>
    <row r="10" customFormat="false" ht="15" hidden="false" customHeight="false" outlineLevel="0" collapsed="false">
      <c r="A10" s="22" t="str">
        <f aca="false">Source_Data!A10</f>
        <v>F009</v>
      </c>
      <c r="B10" s="22" t="str">
        <f aca="false">Source_Data!B10</f>
        <v>Faculty_9</v>
      </c>
      <c r="C10" s="22" t="str">
        <f aca="false">Source_Data!E10</f>
        <v>Management</v>
      </c>
      <c r="D10" s="22" t="str">
        <f aca="false">Source_Data!F10</f>
        <v>Lecturer</v>
      </c>
      <c r="E10" s="22" t="str">
        <f aca="false">Source_Data!G10</f>
        <v>Visiting</v>
      </c>
      <c r="F10" s="22" t="str">
        <f aca="false">Source_Data!K10</f>
        <v>Marketing</v>
      </c>
      <c r="G10" s="23" t="n">
        <f aca="false">Source_Data!Z10</f>
        <v>40</v>
      </c>
      <c r="H10" s="24" t="n">
        <f aca="false">Source_Data!AV10</f>
        <v>3.05</v>
      </c>
      <c r="I10" s="23" t="n">
        <f aca="false">Source_Data!AW10</f>
        <v>69</v>
      </c>
      <c r="J10" s="23" t="n">
        <f aca="false">Source_Data!AX10</f>
        <v>98</v>
      </c>
      <c r="K10" s="24" t="n">
        <f aca="false">Source_Data!AY10</f>
        <v>3.98</v>
      </c>
      <c r="L10" s="24" t="n">
        <f aca="false">Source_Data!AZ10</f>
        <v>11</v>
      </c>
      <c r="M10" s="24" t="n">
        <f aca="false">Source_Data!AO10</f>
        <v>10</v>
      </c>
      <c r="N10" s="24" t="n">
        <f aca="false">Source_Data!AP10</f>
        <v>7</v>
      </c>
      <c r="O10" s="24" t="n">
        <f aca="false">Source_Data!AR10</f>
        <v>0</v>
      </c>
      <c r="P10" s="24" t="n">
        <f aca="false">Source_Data!AU10</f>
        <v>3</v>
      </c>
      <c r="Q10" s="25" t="str">
        <f aca="false">IF(H10&lt;Controls!$B$4,"Critical",IF(H10&lt;Controls!$B$5,"Needs Support",IF(H10&lt;Controls!$B$6,"Good","Excellent")))</f>
        <v>Critical</v>
      </c>
      <c r="R10" s="25" t="str">
        <f aca="false">IF(G10&gt;Controls!$B$7,"High",IF(G10&lt;Controls!$B$8,"Low","Balanced"))</f>
        <v>Balanced</v>
      </c>
      <c r="S10" s="25" t="str">
        <f aca="false">IF(I10&lt;Controls!$B$9,"Yes","No")</f>
        <v>Yes</v>
      </c>
      <c r="T10" s="25" t="str">
        <f aca="false">IF(J10&lt;Controls!$B$10,"Yes","No")</f>
        <v>No</v>
      </c>
      <c r="U10" s="25" t="str">
        <f aca="false">IF(L10&lt;Controls!$B$11,"Yes","No")</f>
        <v>No</v>
      </c>
      <c r="V10" s="25" t="str">
        <f aca="false">IF(K10&lt;Controls!$B$12,"Yes","No")</f>
        <v>Yes</v>
      </c>
      <c r="W10" s="25" t="str">
        <f aca="false">IF(G10&gt;Controls!$B$7,"Yes","No")</f>
        <v>No</v>
      </c>
      <c r="X10" s="25" t="n">
        <f aca="false">COUNTIF(S10:W10,"Yes")</f>
        <v>2</v>
      </c>
      <c r="Y10" s="25" t="str">
        <f aca="false">IF(X10&gt;=3,"High",IF(X10=2,"Medium","Low"))</f>
        <v>Medium</v>
      </c>
      <c r="Z10" s="25" t="str">
        <f aca="false">IF(S10="Yes","Improve student attendance support",IF(T10="Yes","Accelerate course completion support",IF(U10="Yes","Increase faculty training/coaching",IF(V10="Yes","Target performance coaching",IF(W10="Yes","Rebalance teaching workload","Maintain current teaching plan")))))</f>
        <v>Improve student attendance support</v>
      </c>
    </row>
    <row r="11" customFormat="false" ht="15" hidden="false" customHeight="false" outlineLevel="0" collapsed="false">
      <c r="A11" s="22" t="str">
        <f aca="false">Source_Data!A11</f>
        <v>F010</v>
      </c>
      <c r="B11" s="22" t="str">
        <f aca="false">Source_Data!B11</f>
        <v>Faculty_10</v>
      </c>
      <c r="C11" s="22" t="str">
        <f aca="false">Source_Data!E11</f>
        <v>Management</v>
      </c>
      <c r="D11" s="22" t="str">
        <f aca="false">Source_Data!F11</f>
        <v>Assistant Professor</v>
      </c>
      <c r="E11" s="22" t="str">
        <f aca="false">Source_Data!G11</f>
        <v>Visiting</v>
      </c>
      <c r="F11" s="22" t="str">
        <f aca="false">Source_Data!K11</f>
        <v>Business Statistics</v>
      </c>
      <c r="G11" s="23" t="n">
        <f aca="false">Source_Data!Z11</f>
        <v>30</v>
      </c>
      <c r="H11" s="24" t="n">
        <f aca="false">Source_Data!AV11</f>
        <v>4.51</v>
      </c>
      <c r="I11" s="23" t="n">
        <f aca="false">Source_Data!AW11</f>
        <v>81</v>
      </c>
      <c r="J11" s="23" t="n">
        <f aca="false">Source_Data!AX11</f>
        <v>96</v>
      </c>
      <c r="K11" s="24" t="n">
        <f aca="false">Source_Data!AY11</f>
        <v>4.65</v>
      </c>
      <c r="L11" s="24" t="n">
        <f aca="false">Source_Data!AZ11</f>
        <v>5</v>
      </c>
      <c r="M11" s="24" t="n">
        <f aca="false">Source_Data!AO11</f>
        <v>6</v>
      </c>
      <c r="N11" s="24" t="n">
        <f aca="false">Source_Data!AP11</f>
        <v>5</v>
      </c>
      <c r="O11" s="24" t="n">
        <f aca="false">Source_Data!AR11</f>
        <v>2</v>
      </c>
      <c r="P11" s="24" t="n">
        <f aca="false">Source_Data!AU11</f>
        <v>4</v>
      </c>
      <c r="Q11" s="25" t="str">
        <f aca="false">IF(H11&lt;Controls!$B$4,"Critical",IF(H11&lt;Controls!$B$5,"Needs Support",IF(H11&lt;Controls!$B$6,"Good","Excellent")))</f>
        <v>Excellent</v>
      </c>
      <c r="R11" s="25" t="str">
        <f aca="false">IF(G11&gt;Controls!$B$7,"High",IF(G11&lt;Controls!$B$8,"Low","Balanced"))</f>
        <v>Balanced</v>
      </c>
      <c r="S11" s="25" t="str">
        <f aca="false">IF(I11&lt;Controls!$B$9,"Yes","No")</f>
        <v>No</v>
      </c>
      <c r="T11" s="25" t="str">
        <f aca="false">IF(J11&lt;Controls!$B$10,"Yes","No")</f>
        <v>No</v>
      </c>
      <c r="U11" s="25" t="str">
        <f aca="false">IF(L11&lt;Controls!$B$11,"Yes","No")</f>
        <v>Yes</v>
      </c>
      <c r="V11" s="25" t="str">
        <f aca="false">IF(K11&lt;Controls!$B$12,"Yes","No")</f>
        <v>No</v>
      </c>
      <c r="W11" s="25" t="str">
        <f aca="false">IF(G11&gt;Controls!$B$7,"Yes","No")</f>
        <v>No</v>
      </c>
      <c r="X11" s="25" t="n">
        <f aca="false">COUNTIF(S11:W11,"Yes")</f>
        <v>1</v>
      </c>
      <c r="Y11" s="25" t="str">
        <f aca="false">IF(X11&gt;=3,"High",IF(X11=2,"Medium","Low"))</f>
        <v>Low</v>
      </c>
      <c r="Z11" s="25" t="str">
        <f aca="false">IF(S11="Yes","Improve student attendance support",IF(T11="Yes","Accelerate course completion support",IF(U11="Yes","Increase faculty training/coaching",IF(V11="Yes","Target performance coaching",IF(W11="Yes","Rebalance teaching workload","Maintain current teaching plan")))))</f>
        <v>Increase faculty training/coaching</v>
      </c>
    </row>
    <row r="12" customFormat="false" ht="15" hidden="false" customHeight="false" outlineLevel="0" collapsed="false">
      <c r="A12" s="22" t="str">
        <f aca="false">Source_Data!A12</f>
        <v>F011</v>
      </c>
      <c r="B12" s="22" t="str">
        <f aca="false">Source_Data!B12</f>
        <v>Faculty_11</v>
      </c>
      <c r="C12" s="22" t="str">
        <f aca="false">Source_Data!E12</f>
        <v>Economics</v>
      </c>
      <c r="D12" s="22" t="str">
        <f aca="false">Source_Data!F12</f>
        <v>Professor</v>
      </c>
      <c r="E12" s="22" t="str">
        <f aca="false">Source_Data!G12</f>
        <v>Full-time</v>
      </c>
      <c r="F12" s="22" t="str">
        <f aca="false">Source_Data!K12</f>
        <v>Business Statistics</v>
      </c>
      <c r="G12" s="23" t="n">
        <f aca="false">Source_Data!Z12</f>
        <v>45</v>
      </c>
      <c r="H12" s="24" t="n">
        <f aca="false">Source_Data!AV12</f>
        <v>4.27</v>
      </c>
      <c r="I12" s="23" t="n">
        <f aca="false">Source_Data!AW12</f>
        <v>63</v>
      </c>
      <c r="J12" s="23" t="n">
        <f aca="false">Source_Data!AX12</f>
        <v>99</v>
      </c>
      <c r="K12" s="24" t="n">
        <f aca="false">Source_Data!AY12</f>
        <v>4.61</v>
      </c>
      <c r="L12" s="24" t="n">
        <f aca="false">Source_Data!AZ12</f>
        <v>12</v>
      </c>
      <c r="M12" s="24" t="n">
        <f aca="false">Source_Data!AO12</f>
        <v>1</v>
      </c>
      <c r="N12" s="24" t="n">
        <f aca="false">Source_Data!AP12</f>
        <v>2</v>
      </c>
      <c r="O12" s="24" t="n">
        <f aca="false">Source_Data!AR12</f>
        <v>0</v>
      </c>
      <c r="P12" s="24" t="n">
        <f aca="false">Source_Data!AU12</f>
        <v>3</v>
      </c>
      <c r="Q12" s="25" t="str">
        <f aca="false">IF(H12&lt;Controls!$B$4,"Critical",IF(H12&lt;Controls!$B$5,"Needs Support",IF(H12&lt;Controls!$B$6,"Good","Excellent")))</f>
        <v>Good</v>
      </c>
      <c r="R12" s="25" t="str">
        <f aca="false">IF(G12&gt;Controls!$B$7,"High",IF(G12&lt;Controls!$B$8,"Low","Balanced"))</f>
        <v>High</v>
      </c>
      <c r="S12" s="25" t="str">
        <f aca="false">IF(I12&lt;Controls!$B$9,"Yes","No")</f>
        <v>Yes</v>
      </c>
      <c r="T12" s="25" t="str">
        <f aca="false">IF(J12&lt;Controls!$B$10,"Yes","No")</f>
        <v>No</v>
      </c>
      <c r="U12" s="25" t="str">
        <f aca="false">IF(L12&lt;Controls!$B$11,"Yes","No")</f>
        <v>No</v>
      </c>
      <c r="V12" s="25" t="str">
        <f aca="false">IF(K12&lt;Controls!$B$12,"Yes","No")</f>
        <v>No</v>
      </c>
      <c r="W12" s="25" t="str">
        <f aca="false">IF(G12&gt;Controls!$B$7,"Yes","No")</f>
        <v>Yes</v>
      </c>
      <c r="X12" s="25" t="n">
        <f aca="false">COUNTIF(S12:W12,"Yes")</f>
        <v>2</v>
      </c>
      <c r="Y12" s="25" t="str">
        <f aca="false">IF(X12&gt;=3,"High",IF(X12=2,"Medium","Low"))</f>
        <v>Medium</v>
      </c>
      <c r="Z12" s="25" t="str">
        <f aca="false">IF(S12="Yes","Improve student attendance support",IF(T12="Yes","Accelerate course completion support",IF(U12="Yes","Increase faculty training/coaching",IF(V12="Yes","Target performance coaching",IF(W12="Yes","Rebalance teaching workload","Maintain current teaching plan")))))</f>
        <v>Improve student attendance support</v>
      </c>
    </row>
    <row r="13" customFormat="false" ht="15" hidden="false" customHeight="false" outlineLevel="0" collapsed="false">
      <c r="A13" s="22" t="str">
        <f aca="false">Source_Data!A13</f>
        <v>F012</v>
      </c>
      <c r="B13" s="22" t="str">
        <f aca="false">Source_Data!B13</f>
        <v>Faculty_12</v>
      </c>
      <c r="C13" s="22" t="str">
        <f aca="false">Source_Data!E13</f>
        <v>Mathematics</v>
      </c>
      <c r="D13" s="22" t="str">
        <f aca="false">Source_Data!F13</f>
        <v>Professor</v>
      </c>
      <c r="E13" s="22" t="str">
        <f aca="false">Source_Data!G13</f>
        <v>Full-time</v>
      </c>
      <c r="F13" s="22" t="str">
        <f aca="false">Source_Data!K13</f>
        <v>Financial Management</v>
      </c>
      <c r="G13" s="23" t="n">
        <f aca="false">Source_Data!Z13</f>
        <v>25</v>
      </c>
      <c r="H13" s="24" t="n">
        <f aca="false">Source_Data!AV13</f>
        <v>4.04</v>
      </c>
      <c r="I13" s="23" t="n">
        <f aca="false">Source_Data!AW13</f>
        <v>60</v>
      </c>
      <c r="J13" s="23" t="n">
        <f aca="false">Source_Data!AX13</f>
        <v>92</v>
      </c>
      <c r="K13" s="24" t="n">
        <f aca="false">Source_Data!AY13</f>
        <v>4.32</v>
      </c>
      <c r="L13" s="24" t="n">
        <f aca="false">Source_Data!AZ13</f>
        <v>12</v>
      </c>
      <c r="M13" s="24" t="n">
        <f aca="false">Source_Data!AO13</f>
        <v>4</v>
      </c>
      <c r="N13" s="24" t="n">
        <f aca="false">Source_Data!AP13</f>
        <v>4</v>
      </c>
      <c r="O13" s="24" t="n">
        <f aca="false">Source_Data!AR13</f>
        <v>3</v>
      </c>
      <c r="P13" s="24" t="n">
        <f aca="false">Source_Data!AU13</f>
        <v>6</v>
      </c>
      <c r="Q13" s="25" t="str">
        <f aca="false">IF(H13&lt;Controls!$B$4,"Critical",IF(H13&lt;Controls!$B$5,"Needs Support",IF(H13&lt;Controls!$B$6,"Good","Excellent")))</f>
        <v>Good</v>
      </c>
      <c r="R13" s="25" t="str">
        <f aca="false">IF(G13&gt;Controls!$B$7,"High",IF(G13&lt;Controls!$B$8,"Low","Balanced"))</f>
        <v>Balanced</v>
      </c>
      <c r="S13" s="25" t="str">
        <f aca="false">IF(I13&lt;Controls!$B$9,"Yes","No")</f>
        <v>Yes</v>
      </c>
      <c r="T13" s="25" t="str">
        <f aca="false">IF(J13&lt;Controls!$B$10,"Yes","No")</f>
        <v>No</v>
      </c>
      <c r="U13" s="25" t="str">
        <f aca="false">IF(L13&lt;Controls!$B$11,"Yes","No")</f>
        <v>No</v>
      </c>
      <c r="V13" s="25" t="str">
        <f aca="false">IF(K13&lt;Controls!$B$12,"Yes","No")</f>
        <v>No</v>
      </c>
      <c r="W13" s="25" t="str">
        <f aca="false">IF(G13&gt;Controls!$B$7,"Yes","No")</f>
        <v>No</v>
      </c>
      <c r="X13" s="25" t="n">
        <f aca="false">COUNTIF(S13:W13,"Yes")</f>
        <v>1</v>
      </c>
      <c r="Y13" s="25" t="str">
        <f aca="false">IF(X13&gt;=3,"High",IF(X13=2,"Medium","Low"))</f>
        <v>Low</v>
      </c>
      <c r="Z13" s="25" t="str">
        <f aca="false">IF(S13="Yes","Improve student attendance support",IF(T13="Yes","Accelerate course completion support",IF(U13="Yes","Increase faculty training/coaching",IF(V13="Yes","Target performance coaching",IF(W13="Yes","Rebalance teaching workload","Maintain current teaching plan")))))</f>
        <v>Improve student attendance support</v>
      </c>
    </row>
    <row r="14" customFormat="false" ht="15" hidden="false" customHeight="false" outlineLevel="0" collapsed="false">
      <c r="A14" s="22" t="str">
        <f aca="false">Source_Data!A14</f>
        <v>F013</v>
      </c>
      <c r="B14" s="22" t="str">
        <f aca="false">Source_Data!B14</f>
        <v>Faculty_13</v>
      </c>
      <c r="C14" s="22" t="str">
        <f aca="false">Source_Data!E14</f>
        <v>Management</v>
      </c>
      <c r="D14" s="22" t="str">
        <f aca="false">Source_Data!F14</f>
        <v>Lecturer</v>
      </c>
      <c r="E14" s="22" t="str">
        <f aca="false">Source_Data!G14</f>
        <v>Part-time</v>
      </c>
      <c r="F14" s="22" t="str">
        <f aca="false">Source_Data!K14</f>
        <v>Python Programming</v>
      </c>
      <c r="G14" s="23" t="n">
        <f aca="false">Source_Data!Z14</f>
        <v>25</v>
      </c>
      <c r="H14" s="24" t="n">
        <f aca="false">Source_Data!AV14</f>
        <v>3.32</v>
      </c>
      <c r="I14" s="23" t="n">
        <f aca="false">Source_Data!AW14</f>
        <v>79</v>
      </c>
      <c r="J14" s="23" t="n">
        <f aca="false">Source_Data!AX14</f>
        <v>99</v>
      </c>
      <c r="K14" s="24" t="n">
        <f aca="false">Source_Data!AY14</f>
        <v>4.13</v>
      </c>
      <c r="L14" s="24" t="n">
        <f aca="false">Source_Data!AZ14</f>
        <v>9</v>
      </c>
      <c r="M14" s="24" t="n">
        <f aca="false">Source_Data!AO14</f>
        <v>1</v>
      </c>
      <c r="N14" s="24" t="n">
        <f aca="false">Source_Data!AP14</f>
        <v>1</v>
      </c>
      <c r="O14" s="24" t="n">
        <f aca="false">Source_Data!AR14</f>
        <v>5</v>
      </c>
      <c r="P14" s="24" t="n">
        <f aca="false">Source_Data!AU14</f>
        <v>5</v>
      </c>
      <c r="Q14" s="25" t="str">
        <f aca="false">IF(H14&lt;Controls!$B$4,"Critical",IF(H14&lt;Controls!$B$5,"Needs Support",IF(H14&lt;Controls!$B$6,"Good","Excellent")))</f>
        <v>Critical</v>
      </c>
      <c r="R14" s="25" t="str">
        <f aca="false">IF(G14&gt;Controls!$B$7,"High",IF(G14&lt;Controls!$B$8,"Low","Balanced"))</f>
        <v>Balanced</v>
      </c>
      <c r="S14" s="25" t="str">
        <f aca="false">IF(I14&lt;Controls!$B$9,"Yes","No")</f>
        <v>No</v>
      </c>
      <c r="T14" s="25" t="str">
        <f aca="false">IF(J14&lt;Controls!$B$10,"Yes","No")</f>
        <v>No</v>
      </c>
      <c r="U14" s="25" t="str">
        <f aca="false">IF(L14&lt;Controls!$B$11,"Yes","No")</f>
        <v>No</v>
      </c>
      <c r="V14" s="25" t="str">
        <f aca="false">IF(K14&lt;Controls!$B$12,"Yes","No")</f>
        <v>No</v>
      </c>
      <c r="W14" s="25" t="str">
        <f aca="false">IF(G14&gt;Controls!$B$7,"Yes","No")</f>
        <v>No</v>
      </c>
      <c r="X14" s="25" t="n">
        <f aca="false">COUNTIF(S14:W14,"Yes")</f>
        <v>0</v>
      </c>
      <c r="Y14" s="25" t="str">
        <f aca="false">IF(X14&gt;=3,"High",IF(X14=2,"Medium","Low"))</f>
        <v>Low</v>
      </c>
      <c r="Z14" s="25" t="str">
        <f aca="false">IF(S14="Yes","Improve student attendance support",IF(T14="Yes","Accelerate course completion support",IF(U14="Yes","Increase faculty training/coaching",IF(V14="Yes","Target performance coaching",IF(W14="Yes","Rebalance teaching workload","Maintain current teaching plan")))))</f>
        <v>Maintain current teaching plan</v>
      </c>
    </row>
    <row r="15" customFormat="false" ht="15" hidden="false" customHeight="false" outlineLevel="0" collapsed="false">
      <c r="A15" s="22" t="str">
        <f aca="false">Source_Data!A15</f>
        <v>F014</v>
      </c>
      <c r="B15" s="22" t="str">
        <f aca="false">Source_Data!B15</f>
        <v>Faculty_14</v>
      </c>
      <c r="C15" s="22" t="str">
        <f aca="false">Source_Data!E15</f>
        <v>Commerce</v>
      </c>
      <c r="D15" s="22" t="str">
        <f aca="false">Source_Data!F15</f>
        <v>Assistant Professor</v>
      </c>
      <c r="E15" s="22" t="str">
        <f aca="false">Source_Data!G15</f>
        <v>Full-time</v>
      </c>
      <c r="F15" s="22" t="str">
        <f aca="false">Source_Data!K15</f>
        <v>Financial Management</v>
      </c>
      <c r="G15" s="23" t="n">
        <f aca="false">Source_Data!Z15</f>
        <v>30</v>
      </c>
      <c r="H15" s="24" t="n">
        <f aca="false">Source_Data!AV15</f>
        <v>4.94</v>
      </c>
      <c r="I15" s="23" t="n">
        <f aca="false">Source_Data!AW15</f>
        <v>64</v>
      </c>
      <c r="J15" s="23" t="n">
        <f aca="false">Source_Data!AX15</f>
        <v>87</v>
      </c>
      <c r="K15" s="24" t="n">
        <f aca="false">Source_Data!AY15</f>
        <v>4.64</v>
      </c>
      <c r="L15" s="24" t="n">
        <f aca="false">Source_Data!AZ15</f>
        <v>12</v>
      </c>
      <c r="M15" s="24" t="n">
        <f aca="false">Source_Data!AO15</f>
        <v>9</v>
      </c>
      <c r="N15" s="24" t="n">
        <f aca="false">Source_Data!AP15</f>
        <v>3</v>
      </c>
      <c r="O15" s="24" t="n">
        <f aca="false">Source_Data!AR15</f>
        <v>0</v>
      </c>
      <c r="P15" s="24" t="n">
        <f aca="false">Source_Data!AU15</f>
        <v>7</v>
      </c>
      <c r="Q15" s="25" t="str">
        <f aca="false">IF(H15&lt;Controls!$B$4,"Critical",IF(H15&lt;Controls!$B$5,"Needs Support",IF(H15&lt;Controls!$B$6,"Good","Excellent")))</f>
        <v>Excellent</v>
      </c>
      <c r="R15" s="25" t="str">
        <f aca="false">IF(G15&gt;Controls!$B$7,"High",IF(G15&lt;Controls!$B$8,"Low","Balanced"))</f>
        <v>Balanced</v>
      </c>
      <c r="S15" s="25" t="str">
        <f aca="false">IF(I15&lt;Controls!$B$9,"Yes","No")</f>
        <v>Yes</v>
      </c>
      <c r="T15" s="25" t="str">
        <f aca="false">IF(J15&lt;Controls!$B$10,"Yes","No")</f>
        <v>No</v>
      </c>
      <c r="U15" s="25" t="str">
        <f aca="false">IF(L15&lt;Controls!$B$11,"Yes","No")</f>
        <v>No</v>
      </c>
      <c r="V15" s="25" t="str">
        <f aca="false">IF(K15&lt;Controls!$B$12,"Yes","No")</f>
        <v>No</v>
      </c>
      <c r="W15" s="25" t="str">
        <f aca="false">IF(G15&gt;Controls!$B$7,"Yes","No")</f>
        <v>No</v>
      </c>
      <c r="X15" s="25" t="n">
        <f aca="false">COUNTIF(S15:W15,"Yes")</f>
        <v>1</v>
      </c>
      <c r="Y15" s="25" t="str">
        <f aca="false">IF(X15&gt;=3,"High",IF(X15=2,"Medium","Low"))</f>
        <v>Low</v>
      </c>
      <c r="Z15" s="25" t="str">
        <f aca="false">IF(S15="Yes","Improve student attendance support",IF(T15="Yes","Accelerate course completion support",IF(U15="Yes","Increase faculty training/coaching",IF(V15="Yes","Target performance coaching",IF(W15="Yes","Rebalance teaching workload","Maintain current teaching plan")))))</f>
        <v>Improve student attendance support</v>
      </c>
    </row>
    <row r="16" customFormat="false" ht="15" hidden="false" customHeight="false" outlineLevel="0" collapsed="false">
      <c r="A16" s="22" t="str">
        <f aca="false">Source_Data!A16</f>
        <v>F015</v>
      </c>
      <c r="B16" s="22" t="str">
        <f aca="false">Source_Data!B16</f>
        <v>Faculty_15</v>
      </c>
      <c r="C16" s="22" t="str">
        <f aca="false">Source_Data!E16</f>
        <v>Economics</v>
      </c>
      <c r="D16" s="22" t="str">
        <f aca="false">Source_Data!F16</f>
        <v>Assistant Professor</v>
      </c>
      <c r="E16" s="22" t="str">
        <f aca="false">Source_Data!G16</f>
        <v>Part-time</v>
      </c>
      <c r="F16" s="22" t="str">
        <f aca="false">Source_Data!K16</f>
        <v>Marketing</v>
      </c>
      <c r="G16" s="23" t="n">
        <f aca="false">Source_Data!Z16</f>
        <v>30</v>
      </c>
      <c r="H16" s="24" t="n">
        <f aca="false">Source_Data!AV16</f>
        <v>4.35</v>
      </c>
      <c r="I16" s="23" t="n">
        <f aca="false">Source_Data!AW16</f>
        <v>81</v>
      </c>
      <c r="J16" s="23" t="n">
        <f aca="false">Source_Data!AX16</f>
        <v>73</v>
      </c>
      <c r="K16" s="24" t="n">
        <f aca="false">Source_Data!AY16</f>
        <v>4</v>
      </c>
      <c r="L16" s="24" t="n">
        <f aca="false">Source_Data!AZ16</f>
        <v>18</v>
      </c>
      <c r="M16" s="24" t="n">
        <f aca="false">Source_Data!AO16</f>
        <v>0</v>
      </c>
      <c r="N16" s="24" t="n">
        <f aca="false">Source_Data!AP16</f>
        <v>5</v>
      </c>
      <c r="O16" s="24" t="n">
        <f aca="false">Source_Data!AR16</f>
        <v>0</v>
      </c>
      <c r="P16" s="24" t="n">
        <f aca="false">Source_Data!AU16</f>
        <v>3</v>
      </c>
      <c r="Q16" s="25" t="str">
        <f aca="false">IF(H16&lt;Controls!$B$4,"Critical",IF(H16&lt;Controls!$B$5,"Needs Support",IF(H16&lt;Controls!$B$6,"Good","Excellent")))</f>
        <v>Good</v>
      </c>
      <c r="R16" s="25" t="str">
        <f aca="false">IF(G16&gt;Controls!$B$7,"High",IF(G16&lt;Controls!$B$8,"Low","Balanced"))</f>
        <v>Balanced</v>
      </c>
      <c r="S16" s="25" t="str">
        <f aca="false">IF(I16&lt;Controls!$B$9,"Yes","No")</f>
        <v>No</v>
      </c>
      <c r="T16" s="25" t="str">
        <f aca="false">IF(J16&lt;Controls!$B$10,"Yes","No")</f>
        <v>Yes</v>
      </c>
      <c r="U16" s="25" t="str">
        <f aca="false">IF(L16&lt;Controls!$B$11,"Yes","No")</f>
        <v>No</v>
      </c>
      <c r="V16" s="25" t="str">
        <f aca="false">IF(K16&lt;Controls!$B$12,"Yes","No")</f>
        <v>No</v>
      </c>
      <c r="W16" s="25" t="str">
        <f aca="false">IF(G16&gt;Controls!$B$7,"Yes","No")</f>
        <v>No</v>
      </c>
      <c r="X16" s="25" t="n">
        <f aca="false">COUNTIF(S16:W16,"Yes")</f>
        <v>1</v>
      </c>
      <c r="Y16" s="25" t="str">
        <f aca="false">IF(X16&gt;=3,"High",IF(X16=2,"Medium","Low"))</f>
        <v>Low</v>
      </c>
      <c r="Z16" s="25" t="str">
        <f aca="false">IF(S16="Yes","Improve student attendance support",IF(T16="Yes","Accelerate course completion support",IF(U16="Yes","Increase faculty training/coaching",IF(V16="Yes","Target performance coaching",IF(W16="Yes","Rebalance teaching workload","Maintain current teaching plan")))))</f>
        <v>Accelerate course completion support</v>
      </c>
    </row>
    <row r="17" customFormat="false" ht="15" hidden="false" customHeight="false" outlineLevel="0" collapsed="false">
      <c r="A17" s="22" t="str">
        <f aca="false">Source_Data!A17</f>
        <v>F016</v>
      </c>
      <c r="B17" s="22" t="str">
        <f aca="false">Source_Data!B17</f>
        <v>Faculty_16</v>
      </c>
      <c r="C17" s="22" t="str">
        <f aca="false">Source_Data!E17</f>
        <v>Mathematics</v>
      </c>
      <c r="D17" s="22" t="str">
        <f aca="false">Source_Data!F17</f>
        <v>Assistant Professor</v>
      </c>
      <c r="E17" s="22" t="str">
        <f aca="false">Source_Data!G17</f>
        <v>Visiting</v>
      </c>
      <c r="F17" s="22" t="str">
        <f aca="false">Source_Data!K17</f>
        <v>Financial Management</v>
      </c>
      <c r="G17" s="23" t="n">
        <f aca="false">Source_Data!Z17</f>
        <v>20</v>
      </c>
      <c r="H17" s="24" t="n">
        <f aca="false">Source_Data!AV17</f>
        <v>3.99</v>
      </c>
      <c r="I17" s="23" t="n">
        <f aca="false">Source_Data!AW17</f>
        <v>82</v>
      </c>
      <c r="J17" s="23" t="n">
        <f aca="false">Source_Data!AX17</f>
        <v>85</v>
      </c>
      <c r="K17" s="24" t="n">
        <f aca="false">Source_Data!AY17</f>
        <v>4.12</v>
      </c>
      <c r="L17" s="24" t="n">
        <f aca="false">Source_Data!AZ17</f>
        <v>10</v>
      </c>
      <c r="M17" s="24" t="n">
        <f aca="false">Source_Data!AO17</f>
        <v>6</v>
      </c>
      <c r="N17" s="24" t="n">
        <f aca="false">Source_Data!AP17</f>
        <v>8</v>
      </c>
      <c r="O17" s="24" t="n">
        <f aca="false">Source_Data!AR17</f>
        <v>0</v>
      </c>
      <c r="P17" s="24" t="n">
        <f aca="false">Source_Data!AU17</f>
        <v>8</v>
      </c>
      <c r="Q17" s="25" t="str">
        <f aca="false">IF(H17&lt;Controls!$B$4,"Critical",IF(H17&lt;Controls!$B$5,"Needs Support",IF(H17&lt;Controls!$B$6,"Good","Excellent")))</f>
        <v>Needs Support</v>
      </c>
      <c r="R17" s="25" t="str">
        <f aca="false">IF(G17&gt;Controls!$B$7,"High",IF(G17&lt;Controls!$B$8,"Low","Balanced"))</f>
        <v>Low</v>
      </c>
      <c r="S17" s="25" t="str">
        <f aca="false">IF(I17&lt;Controls!$B$9,"Yes","No")</f>
        <v>No</v>
      </c>
      <c r="T17" s="25" t="str">
        <f aca="false">IF(J17&lt;Controls!$B$10,"Yes","No")</f>
        <v>No</v>
      </c>
      <c r="U17" s="25" t="str">
        <f aca="false">IF(L17&lt;Controls!$B$11,"Yes","No")</f>
        <v>No</v>
      </c>
      <c r="V17" s="25" t="str">
        <f aca="false">IF(K17&lt;Controls!$B$12,"Yes","No")</f>
        <v>No</v>
      </c>
      <c r="W17" s="25" t="str">
        <f aca="false">IF(G17&gt;Controls!$B$7,"Yes","No")</f>
        <v>No</v>
      </c>
      <c r="X17" s="25" t="n">
        <f aca="false">COUNTIF(S17:W17,"Yes")</f>
        <v>0</v>
      </c>
      <c r="Y17" s="25" t="str">
        <f aca="false">IF(X17&gt;=3,"High",IF(X17=2,"Medium","Low"))</f>
        <v>Low</v>
      </c>
      <c r="Z17" s="25" t="str">
        <f aca="false">IF(S17="Yes","Improve student attendance support",IF(T17="Yes","Accelerate course completion support",IF(U17="Yes","Increase faculty training/coaching",IF(V17="Yes","Target performance coaching",IF(W17="Yes","Rebalance teaching workload","Maintain current teaching plan")))))</f>
        <v>Maintain current teaching plan</v>
      </c>
    </row>
    <row r="18" customFormat="false" ht="15" hidden="false" customHeight="false" outlineLevel="0" collapsed="false">
      <c r="A18" s="22" t="str">
        <f aca="false">Source_Data!A18</f>
        <v>F017</v>
      </c>
      <c r="B18" s="22" t="str">
        <f aca="false">Source_Data!B18</f>
        <v>Faculty_17</v>
      </c>
      <c r="C18" s="22" t="str">
        <f aca="false">Source_Data!E18</f>
        <v>Commerce</v>
      </c>
      <c r="D18" s="22" t="str">
        <f aca="false">Source_Data!F18</f>
        <v>Assistant Professor</v>
      </c>
      <c r="E18" s="22" t="str">
        <f aca="false">Source_Data!G18</f>
        <v>Part-time</v>
      </c>
      <c r="F18" s="22" t="str">
        <f aca="false">Source_Data!K18</f>
        <v>Data Analytics</v>
      </c>
      <c r="G18" s="23" t="n">
        <f aca="false">Source_Data!Z18</f>
        <v>40</v>
      </c>
      <c r="H18" s="24" t="n">
        <f aca="false">Source_Data!AV18</f>
        <v>4.23</v>
      </c>
      <c r="I18" s="23" t="n">
        <f aca="false">Source_Data!AW18</f>
        <v>68</v>
      </c>
      <c r="J18" s="23" t="n">
        <f aca="false">Source_Data!AX18</f>
        <v>79</v>
      </c>
      <c r="K18" s="24" t="n">
        <f aca="false">Source_Data!AY18</f>
        <v>4.09</v>
      </c>
      <c r="L18" s="24" t="n">
        <f aca="false">Source_Data!AZ18</f>
        <v>3</v>
      </c>
      <c r="M18" s="24" t="n">
        <f aca="false">Source_Data!AO18</f>
        <v>1</v>
      </c>
      <c r="N18" s="24" t="n">
        <f aca="false">Source_Data!AP18</f>
        <v>6</v>
      </c>
      <c r="O18" s="24" t="n">
        <f aca="false">Source_Data!AR18</f>
        <v>4</v>
      </c>
      <c r="P18" s="24" t="n">
        <f aca="false">Source_Data!AU18</f>
        <v>6</v>
      </c>
      <c r="Q18" s="25" t="str">
        <f aca="false">IF(H18&lt;Controls!$B$4,"Critical",IF(H18&lt;Controls!$B$5,"Needs Support",IF(H18&lt;Controls!$B$6,"Good","Excellent")))</f>
        <v>Good</v>
      </c>
      <c r="R18" s="25" t="str">
        <f aca="false">IF(G18&gt;Controls!$B$7,"High",IF(G18&lt;Controls!$B$8,"Low","Balanced"))</f>
        <v>Balanced</v>
      </c>
      <c r="S18" s="25" t="str">
        <f aca="false">IF(I18&lt;Controls!$B$9,"Yes","No")</f>
        <v>Yes</v>
      </c>
      <c r="T18" s="25" t="str">
        <f aca="false">IF(J18&lt;Controls!$B$10,"Yes","No")</f>
        <v>Yes</v>
      </c>
      <c r="U18" s="25" t="str">
        <f aca="false">IF(L18&lt;Controls!$B$11,"Yes","No")</f>
        <v>Yes</v>
      </c>
      <c r="V18" s="25" t="str">
        <f aca="false">IF(K18&lt;Controls!$B$12,"Yes","No")</f>
        <v>No</v>
      </c>
      <c r="W18" s="25" t="str">
        <f aca="false">IF(G18&gt;Controls!$B$7,"Yes","No")</f>
        <v>No</v>
      </c>
      <c r="X18" s="25" t="n">
        <f aca="false">COUNTIF(S18:W18,"Yes")</f>
        <v>3</v>
      </c>
      <c r="Y18" s="25" t="str">
        <f aca="false">IF(X18&gt;=3,"High",IF(X18=2,"Medium","Low"))</f>
        <v>High</v>
      </c>
      <c r="Z18" s="25" t="str">
        <f aca="false">IF(S18="Yes","Improve student attendance support",IF(T18="Yes","Accelerate course completion support",IF(U18="Yes","Increase faculty training/coaching",IF(V18="Yes","Target performance coaching",IF(W18="Yes","Rebalance teaching workload","Maintain current teaching plan")))))</f>
        <v>Improve student attendance support</v>
      </c>
    </row>
    <row r="19" customFormat="false" ht="15" hidden="false" customHeight="false" outlineLevel="0" collapsed="false">
      <c r="A19" s="22" t="str">
        <f aca="false">Source_Data!A19</f>
        <v>F018</v>
      </c>
      <c r="B19" s="22" t="str">
        <f aca="false">Source_Data!B19</f>
        <v>Faculty_18</v>
      </c>
      <c r="C19" s="22" t="str">
        <f aca="false">Source_Data!E19</f>
        <v>Commerce</v>
      </c>
      <c r="D19" s="22" t="str">
        <f aca="false">Source_Data!F19</f>
        <v>Lecturer</v>
      </c>
      <c r="E19" s="22" t="str">
        <f aca="false">Source_Data!G19</f>
        <v>Visiting</v>
      </c>
      <c r="F19" s="22" t="str">
        <f aca="false">Source_Data!K19</f>
        <v>Python Programming</v>
      </c>
      <c r="G19" s="23" t="n">
        <f aca="false">Source_Data!Z19</f>
        <v>35</v>
      </c>
      <c r="H19" s="24" t="n">
        <f aca="false">Source_Data!AV19</f>
        <v>3.24</v>
      </c>
      <c r="I19" s="23" t="n">
        <f aca="false">Source_Data!AW19</f>
        <v>63</v>
      </c>
      <c r="J19" s="23" t="n">
        <f aca="false">Source_Data!AX19</f>
        <v>99</v>
      </c>
      <c r="K19" s="24" t="n">
        <f aca="false">Source_Data!AY19</f>
        <v>4.1</v>
      </c>
      <c r="L19" s="24" t="n">
        <f aca="false">Source_Data!AZ19</f>
        <v>6</v>
      </c>
      <c r="M19" s="24" t="n">
        <f aca="false">Source_Data!AO19</f>
        <v>2</v>
      </c>
      <c r="N19" s="24" t="n">
        <f aca="false">Source_Data!AP19</f>
        <v>5</v>
      </c>
      <c r="O19" s="24" t="n">
        <f aca="false">Source_Data!AR19</f>
        <v>3</v>
      </c>
      <c r="P19" s="24" t="n">
        <f aca="false">Source_Data!AU19</f>
        <v>0</v>
      </c>
      <c r="Q19" s="25" t="str">
        <f aca="false">IF(H19&lt;Controls!$B$4,"Critical",IF(H19&lt;Controls!$B$5,"Needs Support",IF(H19&lt;Controls!$B$6,"Good","Excellent")))</f>
        <v>Critical</v>
      </c>
      <c r="R19" s="25" t="str">
        <f aca="false">IF(G19&gt;Controls!$B$7,"High",IF(G19&lt;Controls!$B$8,"Low","Balanced"))</f>
        <v>Balanced</v>
      </c>
      <c r="S19" s="25" t="str">
        <f aca="false">IF(I19&lt;Controls!$B$9,"Yes","No")</f>
        <v>Yes</v>
      </c>
      <c r="T19" s="25" t="str">
        <f aca="false">IF(J19&lt;Controls!$B$10,"Yes","No")</f>
        <v>No</v>
      </c>
      <c r="U19" s="25" t="str">
        <f aca="false">IF(L19&lt;Controls!$B$11,"Yes","No")</f>
        <v>Yes</v>
      </c>
      <c r="V19" s="25" t="str">
        <f aca="false">IF(K19&lt;Controls!$B$12,"Yes","No")</f>
        <v>No</v>
      </c>
      <c r="W19" s="25" t="str">
        <f aca="false">IF(G19&gt;Controls!$B$7,"Yes","No")</f>
        <v>No</v>
      </c>
      <c r="X19" s="25" t="n">
        <f aca="false">COUNTIF(S19:W19,"Yes")</f>
        <v>2</v>
      </c>
      <c r="Y19" s="25" t="str">
        <f aca="false">IF(X19&gt;=3,"High",IF(X19=2,"Medium","Low"))</f>
        <v>Medium</v>
      </c>
      <c r="Z19" s="25" t="str">
        <f aca="false">IF(S19="Yes","Improve student attendance support",IF(T19="Yes","Accelerate course completion support",IF(U19="Yes","Increase faculty training/coaching",IF(V19="Yes","Target performance coaching",IF(W19="Yes","Rebalance teaching workload","Maintain current teaching plan")))))</f>
        <v>Improve student attendance support</v>
      </c>
    </row>
    <row r="20" customFormat="false" ht="15" hidden="false" customHeight="false" outlineLevel="0" collapsed="false">
      <c r="A20" s="22" t="str">
        <f aca="false">Source_Data!A20</f>
        <v>F019</v>
      </c>
      <c r="B20" s="22" t="str">
        <f aca="false">Source_Data!B20</f>
        <v>Faculty_19</v>
      </c>
      <c r="C20" s="22" t="str">
        <f aca="false">Source_Data!E20</f>
        <v>Computer Science</v>
      </c>
      <c r="D20" s="22" t="str">
        <f aca="false">Source_Data!F20</f>
        <v>Professor</v>
      </c>
      <c r="E20" s="22" t="str">
        <f aca="false">Source_Data!G20</f>
        <v>Visiting</v>
      </c>
      <c r="F20" s="22" t="str">
        <f aca="false">Source_Data!K20</f>
        <v>Financial Management</v>
      </c>
      <c r="G20" s="23" t="n">
        <f aca="false">Source_Data!Z20</f>
        <v>35</v>
      </c>
      <c r="H20" s="24" t="n">
        <f aca="false">Source_Data!AV20</f>
        <v>4.53</v>
      </c>
      <c r="I20" s="23" t="n">
        <f aca="false">Source_Data!AW20</f>
        <v>100</v>
      </c>
      <c r="J20" s="23" t="n">
        <f aca="false">Source_Data!AX20</f>
        <v>74</v>
      </c>
      <c r="K20" s="24" t="n">
        <f aca="false">Source_Data!AY20</f>
        <v>4.12</v>
      </c>
      <c r="L20" s="24" t="n">
        <f aca="false">Source_Data!AZ20</f>
        <v>9</v>
      </c>
      <c r="M20" s="24" t="n">
        <f aca="false">Source_Data!AO20</f>
        <v>4</v>
      </c>
      <c r="N20" s="24" t="n">
        <f aca="false">Source_Data!AP20</f>
        <v>3</v>
      </c>
      <c r="O20" s="24" t="n">
        <f aca="false">Source_Data!AR20</f>
        <v>5</v>
      </c>
      <c r="P20" s="24" t="n">
        <f aca="false">Source_Data!AU20</f>
        <v>1</v>
      </c>
      <c r="Q20" s="25" t="str">
        <f aca="false">IF(H20&lt;Controls!$B$4,"Critical",IF(H20&lt;Controls!$B$5,"Needs Support",IF(H20&lt;Controls!$B$6,"Good","Excellent")))</f>
        <v>Excellent</v>
      </c>
      <c r="R20" s="25" t="str">
        <f aca="false">IF(G20&gt;Controls!$B$7,"High",IF(G20&lt;Controls!$B$8,"Low","Balanced"))</f>
        <v>Balanced</v>
      </c>
      <c r="S20" s="25" t="str">
        <f aca="false">IF(I20&lt;Controls!$B$9,"Yes","No")</f>
        <v>No</v>
      </c>
      <c r="T20" s="25" t="str">
        <f aca="false">IF(J20&lt;Controls!$B$10,"Yes","No")</f>
        <v>Yes</v>
      </c>
      <c r="U20" s="25" t="str">
        <f aca="false">IF(L20&lt;Controls!$B$11,"Yes","No")</f>
        <v>No</v>
      </c>
      <c r="V20" s="25" t="str">
        <f aca="false">IF(K20&lt;Controls!$B$12,"Yes","No")</f>
        <v>No</v>
      </c>
      <c r="W20" s="25" t="str">
        <f aca="false">IF(G20&gt;Controls!$B$7,"Yes","No")</f>
        <v>No</v>
      </c>
      <c r="X20" s="25" t="n">
        <f aca="false">COUNTIF(S20:W20,"Yes")</f>
        <v>1</v>
      </c>
      <c r="Y20" s="25" t="str">
        <f aca="false">IF(X20&gt;=3,"High",IF(X20=2,"Medium","Low"))</f>
        <v>Low</v>
      </c>
      <c r="Z20" s="25" t="str">
        <f aca="false">IF(S20="Yes","Improve student attendance support",IF(T20="Yes","Accelerate course completion support",IF(U20="Yes","Increase faculty training/coaching",IF(V20="Yes","Target performance coaching",IF(W20="Yes","Rebalance teaching workload","Maintain current teaching plan")))))</f>
        <v>Accelerate course completion support</v>
      </c>
    </row>
    <row r="21" customFormat="false" ht="15" hidden="false" customHeight="false" outlineLevel="0" collapsed="false">
      <c r="A21" s="22" t="str">
        <f aca="false">Source_Data!A21</f>
        <v>F020</v>
      </c>
      <c r="B21" s="22" t="str">
        <f aca="false">Source_Data!B21</f>
        <v>Faculty_20</v>
      </c>
      <c r="C21" s="22" t="str">
        <f aca="false">Source_Data!E21</f>
        <v>Computer Science</v>
      </c>
      <c r="D21" s="22" t="str">
        <f aca="false">Source_Data!F21</f>
        <v>Assistant Professor</v>
      </c>
      <c r="E21" s="22" t="str">
        <f aca="false">Source_Data!G21</f>
        <v>Visiting</v>
      </c>
      <c r="F21" s="22" t="str">
        <f aca="false">Source_Data!K21</f>
        <v>Financial Management</v>
      </c>
      <c r="G21" s="23" t="n">
        <f aca="false">Source_Data!Z21</f>
        <v>30</v>
      </c>
      <c r="H21" s="24" t="n">
        <f aca="false">Source_Data!AV21</f>
        <v>4.29</v>
      </c>
      <c r="I21" s="23" t="n">
        <f aca="false">Source_Data!AW21</f>
        <v>72</v>
      </c>
      <c r="J21" s="23" t="n">
        <f aca="false">Source_Data!AX21</f>
        <v>91</v>
      </c>
      <c r="K21" s="24" t="n">
        <f aca="false">Source_Data!AY21</f>
        <v>4.42</v>
      </c>
      <c r="L21" s="24" t="n">
        <f aca="false">Source_Data!AZ21</f>
        <v>15</v>
      </c>
      <c r="M21" s="24" t="n">
        <f aca="false">Source_Data!AO21</f>
        <v>9</v>
      </c>
      <c r="N21" s="24" t="n">
        <f aca="false">Source_Data!AP21</f>
        <v>7</v>
      </c>
      <c r="O21" s="24" t="n">
        <f aca="false">Source_Data!AR21</f>
        <v>5</v>
      </c>
      <c r="P21" s="24" t="n">
        <f aca="false">Source_Data!AU21</f>
        <v>6</v>
      </c>
      <c r="Q21" s="25" t="str">
        <f aca="false">IF(H21&lt;Controls!$B$4,"Critical",IF(H21&lt;Controls!$B$5,"Needs Support",IF(H21&lt;Controls!$B$6,"Good","Excellent")))</f>
        <v>Good</v>
      </c>
      <c r="R21" s="25" t="str">
        <f aca="false">IF(G21&gt;Controls!$B$7,"High",IF(G21&lt;Controls!$B$8,"Low","Balanced"))</f>
        <v>Balanced</v>
      </c>
      <c r="S21" s="25" t="str">
        <f aca="false">IF(I21&lt;Controls!$B$9,"Yes","No")</f>
        <v>Yes</v>
      </c>
      <c r="T21" s="25" t="str">
        <f aca="false">IF(J21&lt;Controls!$B$10,"Yes","No")</f>
        <v>No</v>
      </c>
      <c r="U21" s="25" t="str">
        <f aca="false">IF(L21&lt;Controls!$B$11,"Yes","No")</f>
        <v>No</v>
      </c>
      <c r="V21" s="25" t="str">
        <f aca="false">IF(K21&lt;Controls!$B$12,"Yes","No")</f>
        <v>No</v>
      </c>
      <c r="W21" s="25" t="str">
        <f aca="false">IF(G21&gt;Controls!$B$7,"Yes","No")</f>
        <v>No</v>
      </c>
      <c r="X21" s="25" t="n">
        <f aca="false">COUNTIF(S21:W21,"Yes")</f>
        <v>1</v>
      </c>
      <c r="Y21" s="25" t="str">
        <f aca="false">IF(X21&gt;=3,"High",IF(X21=2,"Medium","Low"))</f>
        <v>Low</v>
      </c>
      <c r="Z21" s="25" t="str">
        <f aca="false">IF(S21="Yes","Improve student attendance support",IF(T21="Yes","Accelerate course completion support",IF(U21="Yes","Increase faculty training/coaching",IF(V21="Yes","Target performance coaching",IF(W21="Yes","Rebalance teaching workload","Maintain current teaching plan")))))</f>
        <v>Improve student attendance support</v>
      </c>
    </row>
    <row r="22" customFormat="false" ht="15" hidden="false" customHeight="false" outlineLevel="0" collapsed="false">
      <c r="A22" s="22" t="str">
        <f aca="false">Source_Data!A22</f>
        <v>F021</v>
      </c>
      <c r="B22" s="22" t="str">
        <f aca="false">Source_Data!B22</f>
        <v>Faculty_21</v>
      </c>
      <c r="C22" s="22" t="str">
        <f aca="false">Source_Data!E22</f>
        <v>Mathematics</v>
      </c>
      <c r="D22" s="22" t="str">
        <f aca="false">Source_Data!F22</f>
        <v>Professor</v>
      </c>
      <c r="E22" s="22" t="str">
        <f aca="false">Source_Data!G22</f>
        <v>Full-time</v>
      </c>
      <c r="F22" s="22" t="str">
        <f aca="false">Source_Data!K22</f>
        <v>Marketing</v>
      </c>
      <c r="G22" s="23" t="n">
        <f aca="false">Source_Data!Z22</f>
        <v>30</v>
      </c>
      <c r="H22" s="24" t="n">
        <f aca="false">Source_Data!AV22</f>
        <v>3.01</v>
      </c>
      <c r="I22" s="23" t="n">
        <f aca="false">Source_Data!AW22</f>
        <v>96</v>
      </c>
      <c r="J22" s="23" t="n">
        <f aca="false">Source_Data!AX22</f>
        <v>100</v>
      </c>
      <c r="K22" s="24" t="n">
        <f aca="false">Source_Data!AY22</f>
        <v>4</v>
      </c>
      <c r="L22" s="24" t="n">
        <f aca="false">Source_Data!AZ22</f>
        <v>16</v>
      </c>
      <c r="M22" s="24" t="n">
        <f aca="false">Source_Data!AO22</f>
        <v>3</v>
      </c>
      <c r="N22" s="24" t="n">
        <f aca="false">Source_Data!AP22</f>
        <v>3</v>
      </c>
      <c r="O22" s="24" t="n">
        <f aca="false">Source_Data!AR22</f>
        <v>2</v>
      </c>
      <c r="P22" s="24" t="n">
        <f aca="false">Source_Data!AU22</f>
        <v>6</v>
      </c>
      <c r="Q22" s="25" t="str">
        <f aca="false">IF(H22&lt;Controls!$B$4,"Critical",IF(H22&lt;Controls!$B$5,"Needs Support",IF(H22&lt;Controls!$B$6,"Good","Excellent")))</f>
        <v>Critical</v>
      </c>
      <c r="R22" s="25" t="str">
        <f aca="false">IF(G22&gt;Controls!$B$7,"High",IF(G22&lt;Controls!$B$8,"Low","Balanced"))</f>
        <v>Balanced</v>
      </c>
      <c r="S22" s="25" t="str">
        <f aca="false">IF(I22&lt;Controls!$B$9,"Yes","No")</f>
        <v>No</v>
      </c>
      <c r="T22" s="25" t="str">
        <f aca="false">IF(J22&lt;Controls!$B$10,"Yes","No")</f>
        <v>No</v>
      </c>
      <c r="U22" s="25" t="str">
        <f aca="false">IF(L22&lt;Controls!$B$11,"Yes","No")</f>
        <v>No</v>
      </c>
      <c r="V22" s="25" t="str">
        <f aca="false">IF(K22&lt;Controls!$B$12,"Yes","No")</f>
        <v>No</v>
      </c>
      <c r="W22" s="25" t="str">
        <f aca="false">IF(G22&gt;Controls!$B$7,"Yes","No")</f>
        <v>No</v>
      </c>
      <c r="X22" s="25" t="n">
        <f aca="false">COUNTIF(S22:W22,"Yes")</f>
        <v>0</v>
      </c>
      <c r="Y22" s="25" t="str">
        <f aca="false">IF(X22&gt;=3,"High",IF(X22=2,"Medium","Low"))</f>
        <v>Low</v>
      </c>
      <c r="Z22" s="25" t="str">
        <f aca="false">IF(S22="Yes","Improve student attendance support",IF(T22="Yes","Accelerate course completion support",IF(U22="Yes","Increase faculty training/coaching",IF(V22="Yes","Target performance coaching",IF(W22="Yes","Rebalance teaching workload","Maintain current teaching plan")))))</f>
        <v>Maintain current teaching plan</v>
      </c>
    </row>
    <row r="23" customFormat="false" ht="15" hidden="false" customHeight="false" outlineLevel="0" collapsed="false">
      <c r="A23" s="22" t="str">
        <f aca="false">Source_Data!A23</f>
        <v>F022</v>
      </c>
      <c r="B23" s="22" t="str">
        <f aca="false">Source_Data!B23</f>
        <v>Faculty_22</v>
      </c>
      <c r="C23" s="22" t="str">
        <f aca="false">Source_Data!E23</f>
        <v>Computer Science</v>
      </c>
      <c r="D23" s="22" t="str">
        <f aca="false">Source_Data!F23</f>
        <v>Professor</v>
      </c>
      <c r="E23" s="22" t="str">
        <f aca="false">Source_Data!G23</f>
        <v>Visiting</v>
      </c>
      <c r="F23" s="22" t="str">
        <f aca="false">Source_Data!K23</f>
        <v>Marketing</v>
      </c>
      <c r="G23" s="23" t="n">
        <f aca="false">Source_Data!Z23</f>
        <v>20</v>
      </c>
      <c r="H23" s="24" t="n">
        <f aca="false">Source_Data!AV23</f>
        <v>3.59</v>
      </c>
      <c r="I23" s="23" t="n">
        <f aca="false">Source_Data!AW23</f>
        <v>93</v>
      </c>
      <c r="J23" s="23" t="n">
        <f aca="false">Source_Data!AX23</f>
        <v>94</v>
      </c>
      <c r="K23" s="24" t="n">
        <f aca="false">Source_Data!AY23</f>
        <v>4.14</v>
      </c>
      <c r="L23" s="24" t="n">
        <f aca="false">Source_Data!AZ23</f>
        <v>5</v>
      </c>
      <c r="M23" s="24" t="n">
        <f aca="false">Source_Data!AO23</f>
        <v>6</v>
      </c>
      <c r="N23" s="24" t="n">
        <f aca="false">Source_Data!AP23</f>
        <v>2</v>
      </c>
      <c r="O23" s="24" t="n">
        <f aca="false">Source_Data!AR23</f>
        <v>0</v>
      </c>
      <c r="P23" s="24" t="n">
        <f aca="false">Source_Data!AU23</f>
        <v>3</v>
      </c>
      <c r="Q23" s="25" t="str">
        <f aca="false">IF(H23&lt;Controls!$B$4,"Critical",IF(H23&lt;Controls!$B$5,"Needs Support",IF(H23&lt;Controls!$B$6,"Good","Excellent")))</f>
        <v>Needs Support</v>
      </c>
      <c r="R23" s="25" t="str">
        <f aca="false">IF(G23&gt;Controls!$B$7,"High",IF(G23&lt;Controls!$B$8,"Low","Balanced"))</f>
        <v>Low</v>
      </c>
      <c r="S23" s="25" t="str">
        <f aca="false">IF(I23&lt;Controls!$B$9,"Yes","No")</f>
        <v>No</v>
      </c>
      <c r="T23" s="25" t="str">
        <f aca="false">IF(J23&lt;Controls!$B$10,"Yes","No")</f>
        <v>No</v>
      </c>
      <c r="U23" s="25" t="str">
        <f aca="false">IF(L23&lt;Controls!$B$11,"Yes","No")</f>
        <v>Yes</v>
      </c>
      <c r="V23" s="25" t="str">
        <f aca="false">IF(K23&lt;Controls!$B$12,"Yes","No")</f>
        <v>No</v>
      </c>
      <c r="W23" s="25" t="str">
        <f aca="false">IF(G23&gt;Controls!$B$7,"Yes","No")</f>
        <v>No</v>
      </c>
      <c r="X23" s="25" t="n">
        <f aca="false">COUNTIF(S23:W23,"Yes")</f>
        <v>1</v>
      </c>
      <c r="Y23" s="25" t="str">
        <f aca="false">IF(X23&gt;=3,"High",IF(X23=2,"Medium","Low"))</f>
        <v>Low</v>
      </c>
      <c r="Z23" s="25" t="str">
        <f aca="false">IF(S23="Yes","Improve student attendance support",IF(T23="Yes","Accelerate course completion support",IF(U23="Yes","Increase faculty training/coaching",IF(V23="Yes","Target performance coaching",IF(W23="Yes","Rebalance teaching workload","Maintain current teaching plan")))))</f>
        <v>Increase faculty training/coaching</v>
      </c>
    </row>
    <row r="24" customFormat="false" ht="15" hidden="false" customHeight="false" outlineLevel="0" collapsed="false">
      <c r="A24" s="22" t="str">
        <f aca="false">Source_Data!A24</f>
        <v>F023</v>
      </c>
      <c r="B24" s="22" t="str">
        <f aca="false">Source_Data!B24</f>
        <v>Faculty_23</v>
      </c>
      <c r="C24" s="22" t="str">
        <f aca="false">Source_Data!E24</f>
        <v>Commerce</v>
      </c>
      <c r="D24" s="22" t="str">
        <f aca="false">Source_Data!F24</f>
        <v>Professor</v>
      </c>
      <c r="E24" s="22" t="str">
        <f aca="false">Source_Data!G24</f>
        <v>Visiting</v>
      </c>
      <c r="F24" s="22" t="str">
        <f aca="false">Source_Data!K24</f>
        <v>Marketing</v>
      </c>
      <c r="G24" s="23" t="n">
        <f aca="false">Source_Data!Z24</f>
        <v>35</v>
      </c>
      <c r="H24" s="24" t="n">
        <f aca="false">Source_Data!AV24</f>
        <v>4.85</v>
      </c>
      <c r="I24" s="23" t="n">
        <f aca="false">Source_Data!AW24</f>
        <v>71</v>
      </c>
      <c r="J24" s="23" t="n">
        <f aca="false">Source_Data!AX24</f>
        <v>75</v>
      </c>
      <c r="K24" s="24" t="n">
        <f aca="false">Source_Data!AY24</f>
        <v>4.3</v>
      </c>
      <c r="L24" s="24" t="n">
        <f aca="false">Source_Data!AZ24</f>
        <v>18</v>
      </c>
      <c r="M24" s="24" t="n">
        <f aca="false">Source_Data!AO24</f>
        <v>6</v>
      </c>
      <c r="N24" s="24" t="n">
        <f aca="false">Source_Data!AP24</f>
        <v>4</v>
      </c>
      <c r="O24" s="24" t="n">
        <f aca="false">Source_Data!AR24</f>
        <v>4</v>
      </c>
      <c r="P24" s="24" t="n">
        <f aca="false">Source_Data!AU24</f>
        <v>1</v>
      </c>
      <c r="Q24" s="25" t="str">
        <f aca="false">IF(H24&lt;Controls!$B$4,"Critical",IF(H24&lt;Controls!$B$5,"Needs Support",IF(H24&lt;Controls!$B$6,"Good","Excellent")))</f>
        <v>Excellent</v>
      </c>
      <c r="R24" s="25" t="str">
        <f aca="false">IF(G24&gt;Controls!$B$7,"High",IF(G24&lt;Controls!$B$8,"Low","Balanced"))</f>
        <v>Balanced</v>
      </c>
      <c r="S24" s="25" t="str">
        <f aca="false">IF(I24&lt;Controls!$B$9,"Yes","No")</f>
        <v>Yes</v>
      </c>
      <c r="T24" s="25" t="str">
        <f aca="false">IF(J24&lt;Controls!$B$10,"Yes","No")</f>
        <v>Yes</v>
      </c>
      <c r="U24" s="25" t="str">
        <f aca="false">IF(L24&lt;Controls!$B$11,"Yes","No")</f>
        <v>No</v>
      </c>
      <c r="V24" s="25" t="str">
        <f aca="false">IF(K24&lt;Controls!$B$12,"Yes","No")</f>
        <v>No</v>
      </c>
      <c r="W24" s="25" t="str">
        <f aca="false">IF(G24&gt;Controls!$B$7,"Yes","No")</f>
        <v>No</v>
      </c>
      <c r="X24" s="25" t="n">
        <f aca="false">COUNTIF(S24:W24,"Yes")</f>
        <v>2</v>
      </c>
      <c r="Y24" s="25" t="str">
        <f aca="false">IF(X24&gt;=3,"High",IF(X24=2,"Medium","Low"))</f>
        <v>Medium</v>
      </c>
      <c r="Z24" s="25" t="str">
        <f aca="false">IF(S24="Yes","Improve student attendance support",IF(T24="Yes","Accelerate course completion support",IF(U24="Yes","Increase faculty training/coaching",IF(V24="Yes","Target performance coaching",IF(W24="Yes","Rebalance teaching workload","Maintain current teaching plan")))))</f>
        <v>Improve student attendance support</v>
      </c>
    </row>
    <row r="25" customFormat="false" ht="15" hidden="false" customHeight="false" outlineLevel="0" collapsed="false">
      <c r="A25" s="22" t="str">
        <f aca="false">Source_Data!A25</f>
        <v>F024</v>
      </c>
      <c r="B25" s="22" t="str">
        <f aca="false">Source_Data!B25</f>
        <v>Faculty_24</v>
      </c>
      <c r="C25" s="22" t="str">
        <f aca="false">Source_Data!E25</f>
        <v>Management</v>
      </c>
      <c r="D25" s="22" t="str">
        <f aca="false">Source_Data!F25</f>
        <v>Assistant Professor</v>
      </c>
      <c r="E25" s="22" t="str">
        <f aca="false">Source_Data!G25</f>
        <v>Part-time</v>
      </c>
      <c r="F25" s="22" t="str">
        <f aca="false">Source_Data!K25</f>
        <v>Financial Management</v>
      </c>
      <c r="G25" s="23" t="n">
        <f aca="false">Source_Data!Z25</f>
        <v>35</v>
      </c>
      <c r="H25" s="24" t="n">
        <f aca="false">Source_Data!AV25</f>
        <v>4.45</v>
      </c>
      <c r="I25" s="23" t="n">
        <f aca="false">Source_Data!AW25</f>
        <v>86</v>
      </c>
      <c r="J25" s="23" t="n">
        <f aca="false">Source_Data!AX25</f>
        <v>90</v>
      </c>
      <c r="K25" s="24" t="n">
        <f aca="false">Source_Data!AY25</f>
        <v>4.47</v>
      </c>
      <c r="L25" s="24" t="n">
        <f aca="false">Source_Data!AZ25</f>
        <v>8</v>
      </c>
      <c r="M25" s="24" t="n">
        <f aca="false">Source_Data!AO25</f>
        <v>3</v>
      </c>
      <c r="N25" s="24" t="n">
        <f aca="false">Source_Data!AP25</f>
        <v>2</v>
      </c>
      <c r="O25" s="24" t="n">
        <f aca="false">Source_Data!AR25</f>
        <v>4</v>
      </c>
      <c r="P25" s="24" t="n">
        <f aca="false">Source_Data!AU25</f>
        <v>0</v>
      </c>
      <c r="Q25" s="25" t="str">
        <f aca="false">IF(H25&lt;Controls!$B$4,"Critical",IF(H25&lt;Controls!$B$5,"Needs Support",IF(H25&lt;Controls!$B$6,"Good","Excellent")))</f>
        <v>Good</v>
      </c>
      <c r="R25" s="25" t="str">
        <f aca="false">IF(G25&gt;Controls!$B$7,"High",IF(G25&lt;Controls!$B$8,"Low","Balanced"))</f>
        <v>Balanced</v>
      </c>
      <c r="S25" s="25" t="str">
        <f aca="false">IF(I25&lt;Controls!$B$9,"Yes","No")</f>
        <v>No</v>
      </c>
      <c r="T25" s="25" t="str">
        <f aca="false">IF(J25&lt;Controls!$B$10,"Yes","No")</f>
        <v>No</v>
      </c>
      <c r="U25" s="25" t="str">
        <f aca="false">IF(L25&lt;Controls!$B$11,"Yes","No")</f>
        <v>No</v>
      </c>
      <c r="V25" s="25" t="str">
        <f aca="false">IF(K25&lt;Controls!$B$12,"Yes","No")</f>
        <v>No</v>
      </c>
      <c r="W25" s="25" t="str">
        <f aca="false">IF(G25&gt;Controls!$B$7,"Yes","No")</f>
        <v>No</v>
      </c>
      <c r="X25" s="25" t="n">
        <f aca="false">COUNTIF(S25:W25,"Yes")</f>
        <v>0</v>
      </c>
      <c r="Y25" s="25" t="str">
        <f aca="false">IF(X25&gt;=3,"High",IF(X25=2,"Medium","Low"))</f>
        <v>Low</v>
      </c>
      <c r="Z25" s="25" t="str">
        <f aca="false">IF(S25="Yes","Improve student attendance support",IF(T25="Yes","Accelerate course completion support",IF(U25="Yes","Increase faculty training/coaching",IF(V25="Yes","Target performance coaching",IF(W25="Yes","Rebalance teaching workload","Maintain current teaching plan")))))</f>
        <v>Maintain current teaching plan</v>
      </c>
    </row>
    <row r="26" customFormat="false" ht="15" hidden="false" customHeight="false" outlineLevel="0" collapsed="false">
      <c r="A26" s="22" t="str">
        <f aca="false">Source_Data!A26</f>
        <v>F025</v>
      </c>
      <c r="B26" s="22" t="str">
        <f aca="false">Source_Data!B26</f>
        <v>Faculty_25</v>
      </c>
      <c r="C26" s="22" t="str">
        <f aca="false">Source_Data!E26</f>
        <v>Mathematics</v>
      </c>
      <c r="D26" s="22" t="str">
        <f aca="false">Source_Data!F26</f>
        <v>Lecturer</v>
      </c>
      <c r="E26" s="22" t="str">
        <f aca="false">Source_Data!G26</f>
        <v>Visiting</v>
      </c>
      <c r="F26" s="22" t="str">
        <f aca="false">Source_Data!K26</f>
        <v>Python Programming</v>
      </c>
      <c r="G26" s="23" t="n">
        <f aca="false">Source_Data!Z26</f>
        <v>30</v>
      </c>
      <c r="H26" s="24" t="n">
        <f aca="false">Source_Data!AV26</f>
        <v>4.3</v>
      </c>
      <c r="I26" s="23" t="n">
        <f aca="false">Source_Data!AW26</f>
        <v>87</v>
      </c>
      <c r="J26" s="23" t="n">
        <f aca="false">Source_Data!AX26</f>
        <v>86</v>
      </c>
      <c r="K26" s="24" t="n">
        <f aca="false">Source_Data!AY26</f>
        <v>4.3</v>
      </c>
      <c r="L26" s="24" t="n">
        <f aca="false">Source_Data!AZ26</f>
        <v>5</v>
      </c>
      <c r="M26" s="24" t="n">
        <f aca="false">Source_Data!AO26</f>
        <v>7</v>
      </c>
      <c r="N26" s="24" t="n">
        <f aca="false">Source_Data!AP26</f>
        <v>1</v>
      </c>
      <c r="O26" s="24" t="n">
        <f aca="false">Source_Data!AR26</f>
        <v>0</v>
      </c>
      <c r="P26" s="24" t="n">
        <f aca="false">Source_Data!AU26</f>
        <v>3</v>
      </c>
      <c r="Q26" s="25" t="str">
        <f aca="false">IF(H26&lt;Controls!$B$4,"Critical",IF(H26&lt;Controls!$B$5,"Needs Support",IF(H26&lt;Controls!$B$6,"Good","Excellent")))</f>
        <v>Good</v>
      </c>
      <c r="R26" s="25" t="str">
        <f aca="false">IF(G26&gt;Controls!$B$7,"High",IF(G26&lt;Controls!$B$8,"Low","Balanced"))</f>
        <v>Balanced</v>
      </c>
      <c r="S26" s="25" t="str">
        <f aca="false">IF(I26&lt;Controls!$B$9,"Yes","No")</f>
        <v>No</v>
      </c>
      <c r="T26" s="25" t="str">
        <f aca="false">IF(J26&lt;Controls!$B$10,"Yes","No")</f>
        <v>No</v>
      </c>
      <c r="U26" s="25" t="str">
        <f aca="false">IF(L26&lt;Controls!$B$11,"Yes","No")</f>
        <v>Yes</v>
      </c>
      <c r="V26" s="25" t="str">
        <f aca="false">IF(K26&lt;Controls!$B$12,"Yes","No")</f>
        <v>No</v>
      </c>
      <c r="W26" s="25" t="str">
        <f aca="false">IF(G26&gt;Controls!$B$7,"Yes","No")</f>
        <v>No</v>
      </c>
      <c r="X26" s="25" t="n">
        <f aca="false">COUNTIF(S26:W26,"Yes")</f>
        <v>1</v>
      </c>
      <c r="Y26" s="25" t="str">
        <f aca="false">IF(X26&gt;=3,"High",IF(X26=2,"Medium","Low"))</f>
        <v>Low</v>
      </c>
      <c r="Z26" s="25" t="str">
        <f aca="false">IF(S26="Yes","Improve student attendance support",IF(T26="Yes","Accelerate course completion support",IF(U26="Yes","Increase faculty training/coaching",IF(V26="Yes","Target performance coaching",IF(W26="Yes","Rebalance teaching workload","Maintain current teaching plan")))))</f>
        <v>Increase faculty training/coaching</v>
      </c>
    </row>
    <row r="27" customFormat="false" ht="15" hidden="false" customHeight="false" outlineLevel="0" collapsed="false">
      <c r="A27" s="22" t="str">
        <f aca="false">Source_Data!A27</f>
        <v>F026</v>
      </c>
      <c r="B27" s="22" t="str">
        <f aca="false">Source_Data!B27</f>
        <v>Faculty_26</v>
      </c>
      <c r="C27" s="22" t="str">
        <f aca="false">Source_Data!E27</f>
        <v>Economics</v>
      </c>
      <c r="D27" s="22" t="str">
        <f aca="false">Source_Data!F27</f>
        <v>Assistant Professor</v>
      </c>
      <c r="E27" s="22" t="str">
        <f aca="false">Source_Data!G27</f>
        <v>Part-time</v>
      </c>
      <c r="F27" s="22" t="str">
        <f aca="false">Source_Data!K27</f>
        <v>Business Statistics</v>
      </c>
      <c r="G27" s="23" t="n">
        <f aca="false">Source_Data!Z27</f>
        <v>45</v>
      </c>
      <c r="H27" s="24" t="n">
        <f aca="false">Source_Data!AV27</f>
        <v>4.06</v>
      </c>
      <c r="I27" s="23" t="n">
        <f aca="false">Source_Data!AW27</f>
        <v>88</v>
      </c>
      <c r="J27" s="23" t="n">
        <f aca="false">Source_Data!AX27</f>
        <v>77</v>
      </c>
      <c r="K27" s="24" t="n">
        <f aca="false">Source_Data!AY27</f>
        <v>3.96</v>
      </c>
      <c r="L27" s="24" t="n">
        <f aca="false">Source_Data!AZ27</f>
        <v>10</v>
      </c>
      <c r="M27" s="24" t="n">
        <f aca="false">Source_Data!AO27</f>
        <v>3</v>
      </c>
      <c r="N27" s="24" t="n">
        <f aca="false">Source_Data!AP27</f>
        <v>2</v>
      </c>
      <c r="O27" s="24" t="n">
        <f aca="false">Source_Data!AR27</f>
        <v>2</v>
      </c>
      <c r="P27" s="24" t="n">
        <f aca="false">Source_Data!AU27</f>
        <v>2</v>
      </c>
      <c r="Q27" s="25" t="str">
        <f aca="false">IF(H27&lt;Controls!$B$4,"Critical",IF(H27&lt;Controls!$B$5,"Needs Support",IF(H27&lt;Controls!$B$6,"Good","Excellent")))</f>
        <v>Good</v>
      </c>
      <c r="R27" s="25" t="str">
        <f aca="false">IF(G27&gt;Controls!$B$7,"High",IF(G27&lt;Controls!$B$8,"Low","Balanced"))</f>
        <v>High</v>
      </c>
      <c r="S27" s="25" t="str">
        <f aca="false">IF(I27&lt;Controls!$B$9,"Yes","No")</f>
        <v>No</v>
      </c>
      <c r="T27" s="25" t="str">
        <f aca="false">IF(J27&lt;Controls!$B$10,"Yes","No")</f>
        <v>Yes</v>
      </c>
      <c r="U27" s="25" t="str">
        <f aca="false">IF(L27&lt;Controls!$B$11,"Yes","No")</f>
        <v>No</v>
      </c>
      <c r="V27" s="25" t="str">
        <f aca="false">IF(K27&lt;Controls!$B$12,"Yes","No")</f>
        <v>Yes</v>
      </c>
      <c r="W27" s="25" t="str">
        <f aca="false">IF(G27&gt;Controls!$B$7,"Yes","No")</f>
        <v>Yes</v>
      </c>
      <c r="X27" s="25" t="n">
        <f aca="false">COUNTIF(S27:W27,"Yes")</f>
        <v>3</v>
      </c>
      <c r="Y27" s="25" t="str">
        <f aca="false">IF(X27&gt;=3,"High",IF(X27=2,"Medium","Low"))</f>
        <v>High</v>
      </c>
      <c r="Z27" s="25" t="str">
        <f aca="false">IF(S27="Yes","Improve student attendance support",IF(T27="Yes","Accelerate course completion support",IF(U27="Yes","Increase faculty training/coaching",IF(V27="Yes","Target performance coaching",IF(W27="Yes","Rebalance teaching workload","Maintain current teaching plan")))))</f>
        <v>Accelerate course completion support</v>
      </c>
    </row>
    <row r="28" customFormat="false" ht="15" hidden="false" customHeight="false" outlineLevel="0" collapsed="false">
      <c r="A28" s="22" t="str">
        <f aca="false">Source_Data!A28</f>
        <v>F027</v>
      </c>
      <c r="B28" s="22" t="str">
        <f aca="false">Source_Data!B28</f>
        <v>Faculty_27</v>
      </c>
      <c r="C28" s="22" t="str">
        <f aca="false">Source_Data!E28</f>
        <v>Mathematics</v>
      </c>
      <c r="D28" s="22" t="str">
        <f aca="false">Source_Data!F28</f>
        <v>Professor</v>
      </c>
      <c r="E28" s="22" t="str">
        <f aca="false">Source_Data!G28</f>
        <v>Visiting</v>
      </c>
      <c r="F28" s="22" t="str">
        <f aca="false">Source_Data!K28</f>
        <v>Python Programming</v>
      </c>
      <c r="G28" s="23" t="n">
        <f aca="false">Source_Data!Z28</f>
        <v>25</v>
      </c>
      <c r="H28" s="24" t="n">
        <f aca="false">Source_Data!AV28</f>
        <v>4.92</v>
      </c>
      <c r="I28" s="23" t="n">
        <f aca="false">Source_Data!AW28</f>
        <v>81</v>
      </c>
      <c r="J28" s="23" t="n">
        <f aca="false">Source_Data!AX28</f>
        <v>99</v>
      </c>
      <c r="K28" s="24" t="n">
        <f aca="false">Source_Data!AY28</f>
        <v>4.94</v>
      </c>
      <c r="L28" s="24" t="n">
        <f aca="false">Source_Data!AZ28</f>
        <v>3</v>
      </c>
      <c r="M28" s="24" t="n">
        <f aca="false">Source_Data!AO28</f>
        <v>8</v>
      </c>
      <c r="N28" s="24" t="n">
        <f aca="false">Source_Data!AP28</f>
        <v>8</v>
      </c>
      <c r="O28" s="24" t="n">
        <f aca="false">Source_Data!AR28</f>
        <v>1</v>
      </c>
      <c r="P28" s="24" t="n">
        <f aca="false">Source_Data!AU28</f>
        <v>7</v>
      </c>
      <c r="Q28" s="25" t="str">
        <f aca="false">IF(H28&lt;Controls!$B$4,"Critical",IF(H28&lt;Controls!$B$5,"Needs Support",IF(H28&lt;Controls!$B$6,"Good","Excellent")))</f>
        <v>Excellent</v>
      </c>
      <c r="R28" s="25" t="str">
        <f aca="false">IF(G28&gt;Controls!$B$7,"High",IF(G28&lt;Controls!$B$8,"Low","Balanced"))</f>
        <v>Balanced</v>
      </c>
      <c r="S28" s="25" t="str">
        <f aca="false">IF(I28&lt;Controls!$B$9,"Yes","No")</f>
        <v>No</v>
      </c>
      <c r="T28" s="25" t="str">
        <f aca="false">IF(J28&lt;Controls!$B$10,"Yes","No")</f>
        <v>No</v>
      </c>
      <c r="U28" s="25" t="str">
        <f aca="false">IF(L28&lt;Controls!$B$11,"Yes","No")</f>
        <v>Yes</v>
      </c>
      <c r="V28" s="25" t="str">
        <f aca="false">IF(K28&lt;Controls!$B$12,"Yes","No")</f>
        <v>No</v>
      </c>
      <c r="W28" s="25" t="str">
        <f aca="false">IF(G28&gt;Controls!$B$7,"Yes","No")</f>
        <v>No</v>
      </c>
      <c r="X28" s="25" t="n">
        <f aca="false">COUNTIF(S28:W28,"Yes")</f>
        <v>1</v>
      </c>
      <c r="Y28" s="25" t="str">
        <f aca="false">IF(X28&gt;=3,"High",IF(X28=2,"Medium","Low"))</f>
        <v>Low</v>
      </c>
      <c r="Z28" s="25" t="str">
        <f aca="false">IF(S28="Yes","Improve student attendance support",IF(T28="Yes","Accelerate course completion support",IF(U28="Yes","Increase faculty training/coaching",IF(V28="Yes","Target performance coaching",IF(W28="Yes","Rebalance teaching workload","Maintain current teaching plan")))))</f>
        <v>Increase faculty training/coaching</v>
      </c>
    </row>
    <row r="29" customFormat="false" ht="15" hidden="false" customHeight="false" outlineLevel="0" collapsed="false">
      <c r="A29" s="22" t="str">
        <f aca="false">Source_Data!A29</f>
        <v>F028</v>
      </c>
      <c r="B29" s="22" t="str">
        <f aca="false">Source_Data!B29</f>
        <v>Faculty_28</v>
      </c>
      <c r="C29" s="22" t="str">
        <f aca="false">Source_Data!E29</f>
        <v>Economics</v>
      </c>
      <c r="D29" s="22" t="str">
        <f aca="false">Source_Data!F29</f>
        <v>Professor</v>
      </c>
      <c r="E29" s="22" t="str">
        <f aca="false">Source_Data!G29</f>
        <v>Full-time</v>
      </c>
      <c r="F29" s="22" t="str">
        <f aca="false">Source_Data!K29</f>
        <v>Python Programming</v>
      </c>
      <c r="G29" s="23" t="n">
        <f aca="false">Source_Data!Z29</f>
        <v>30</v>
      </c>
      <c r="H29" s="24" t="n">
        <f aca="false">Source_Data!AV29</f>
        <v>3.74</v>
      </c>
      <c r="I29" s="23" t="n">
        <f aca="false">Source_Data!AW29</f>
        <v>62</v>
      </c>
      <c r="J29" s="23" t="n">
        <f aca="false">Source_Data!AX29</f>
        <v>88</v>
      </c>
      <c r="K29" s="24" t="n">
        <f aca="false">Source_Data!AY29</f>
        <v>4.07</v>
      </c>
      <c r="L29" s="24" t="n">
        <f aca="false">Source_Data!AZ29</f>
        <v>1</v>
      </c>
      <c r="M29" s="24" t="n">
        <f aca="false">Source_Data!AO29</f>
        <v>2</v>
      </c>
      <c r="N29" s="24" t="n">
        <f aca="false">Source_Data!AP29</f>
        <v>0</v>
      </c>
      <c r="O29" s="24" t="n">
        <f aca="false">Source_Data!AR29</f>
        <v>3</v>
      </c>
      <c r="P29" s="24" t="n">
        <f aca="false">Source_Data!AU29</f>
        <v>6</v>
      </c>
      <c r="Q29" s="25" t="str">
        <f aca="false">IF(H29&lt;Controls!$B$4,"Critical",IF(H29&lt;Controls!$B$5,"Needs Support",IF(H29&lt;Controls!$B$6,"Good","Excellent")))</f>
        <v>Needs Support</v>
      </c>
      <c r="R29" s="25" t="str">
        <f aca="false">IF(G29&gt;Controls!$B$7,"High",IF(G29&lt;Controls!$B$8,"Low","Balanced"))</f>
        <v>Balanced</v>
      </c>
      <c r="S29" s="25" t="str">
        <f aca="false">IF(I29&lt;Controls!$B$9,"Yes","No")</f>
        <v>Yes</v>
      </c>
      <c r="T29" s="25" t="str">
        <f aca="false">IF(J29&lt;Controls!$B$10,"Yes","No")</f>
        <v>No</v>
      </c>
      <c r="U29" s="25" t="str">
        <f aca="false">IF(L29&lt;Controls!$B$11,"Yes","No")</f>
        <v>Yes</v>
      </c>
      <c r="V29" s="25" t="str">
        <f aca="false">IF(K29&lt;Controls!$B$12,"Yes","No")</f>
        <v>No</v>
      </c>
      <c r="W29" s="25" t="str">
        <f aca="false">IF(G29&gt;Controls!$B$7,"Yes","No")</f>
        <v>No</v>
      </c>
      <c r="X29" s="25" t="n">
        <f aca="false">COUNTIF(S29:W29,"Yes")</f>
        <v>2</v>
      </c>
      <c r="Y29" s="25" t="str">
        <f aca="false">IF(X29&gt;=3,"High",IF(X29=2,"Medium","Low"))</f>
        <v>Medium</v>
      </c>
      <c r="Z29" s="25" t="str">
        <f aca="false">IF(S29="Yes","Improve student attendance support",IF(T29="Yes","Accelerate course completion support",IF(U29="Yes","Increase faculty training/coaching",IF(V29="Yes","Target performance coaching",IF(W29="Yes","Rebalance teaching workload","Maintain current teaching plan")))))</f>
        <v>Improve student attendance support</v>
      </c>
    </row>
    <row r="30" customFormat="false" ht="15" hidden="false" customHeight="false" outlineLevel="0" collapsed="false">
      <c r="A30" s="22" t="str">
        <f aca="false">Source_Data!A30</f>
        <v>F029</v>
      </c>
      <c r="B30" s="22" t="str">
        <f aca="false">Source_Data!B30</f>
        <v>Faculty_29</v>
      </c>
      <c r="C30" s="22" t="str">
        <f aca="false">Source_Data!E30</f>
        <v>Mathematics</v>
      </c>
      <c r="D30" s="22" t="str">
        <f aca="false">Source_Data!F30</f>
        <v>Assistant Professor</v>
      </c>
      <c r="E30" s="22" t="str">
        <f aca="false">Source_Data!G30</f>
        <v>Visiting</v>
      </c>
      <c r="F30" s="22" t="str">
        <f aca="false">Source_Data!K30</f>
        <v>Business Statistics</v>
      </c>
      <c r="G30" s="23" t="n">
        <f aca="false">Source_Data!Z30</f>
        <v>30</v>
      </c>
      <c r="H30" s="24" t="n">
        <f aca="false">Source_Data!AV30</f>
        <v>3.28</v>
      </c>
      <c r="I30" s="23" t="n">
        <f aca="false">Source_Data!AW30</f>
        <v>92</v>
      </c>
      <c r="J30" s="23" t="n">
        <f aca="false">Source_Data!AX30</f>
        <v>93</v>
      </c>
      <c r="K30" s="24" t="n">
        <f aca="false">Source_Data!AY30</f>
        <v>3.96</v>
      </c>
      <c r="L30" s="24" t="n">
        <f aca="false">Source_Data!AZ30</f>
        <v>19</v>
      </c>
      <c r="M30" s="24" t="n">
        <f aca="false">Source_Data!AO30</f>
        <v>8</v>
      </c>
      <c r="N30" s="24" t="n">
        <f aca="false">Source_Data!AP30</f>
        <v>8</v>
      </c>
      <c r="O30" s="24" t="n">
        <f aca="false">Source_Data!AR30</f>
        <v>2</v>
      </c>
      <c r="P30" s="24" t="n">
        <f aca="false">Source_Data!AU30</f>
        <v>6</v>
      </c>
      <c r="Q30" s="25" t="str">
        <f aca="false">IF(H30&lt;Controls!$B$4,"Critical",IF(H30&lt;Controls!$B$5,"Needs Support",IF(H30&lt;Controls!$B$6,"Good","Excellent")))</f>
        <v>Critical</v>
      </c>
      <c r="R30" s="25" t="str">
        <f aca="false">IF(G30&gt;Controls!$B$7,"High",IF(G30&lt;Controls!$B$8,"Low","Balanced"))</f>
        <v>Balanced</v>
      </c>
      <c r="S30" s="25" t="str">
        <f aca="false">IF(I30&lt;Controls!$B$9,"Yes","No")</f>
        <v>No</v>
      </c>
      <c r="T30" s="25" t="str">
        <f aca="false">IF(J30&lt;Controls!$B$10,"Yes","No")</f>
        <v>No</v>
      </c>
      <c r="U30" s="25" t="str">
        <f aca="false">IF(L30&lt;Controls!$B$11,"Yes","No")</f>
        <v>No</v>
      </c>
      <c r="V30" s="25" t="str">
        <f aca="false">IF(K30&lt;Controls!$B$12,"Yes","No")</f>
        <v>Yes</v>
      </c>
      <c r="W30" s="25" t="str">
        <f aca="false">IF(G30&gt;Controls!$B$7,"Yes","No")</f>
        <v>No</v>
      </c>
      <c r="X30" s="25" t="n">
        <f aca="false">COUNTIF(S30:W30,"Yes")</f>
        <v>1</v>
      </c>
      <c r="Y30" s="25" t="str">
        <f aca="false">IF(X30&gt;=3,"High",IF(X30=2,"Medium","Low"))</f>
        <v>Low</v>
      </c>
      <c r="Z30" s="25" t="str">
        <f aca="false">IF(S30="Yes","Improve student attendance support",IF(T30="Yes","Accelerate course completion support",IF(U30="Yes","Increase faculty training/coaching",IF(V30="Yes","Target performance coaching",IF(W30="Yes","Rebalance teaching workload","Maintain current teaching plan")))))</f>
        <v>Target performance coaching</v>
      </c>
    </row>
    <row r="31" customFormat="false" ht="15" hidden="false" customHeight="false" outlineLevel="0" collapsed="false">
      <c r="A31" s="22" t="str">
        <f aca="false">Source_Data!A31</f>
        <v>F030</v>
      </c>
      <c r="B31" s="22" t="str">
        <f aca="false">Source_Data!B31</f>
        <v>Faculty_30</v>
      </c>
      <c r="C31" s="22" t="str">
        <f aca="false">Source_Data!E31</f>
        <v>Computer Science</v>
      </c>
      <c r="D31" s="22" t="str">
        <f aca="false">Source_Data!F31</f>
        <v>Lecturer</v>
      </c>
      <c r="E31" s="22" t="str">
        <f aca="false">Source_Data!G31</f>
        <v>Full-time</v>
      </c>
      <c r="F31" s="22" t="str">
        <f aca="false">Source_Data!K31</f>
        <v>Financial Management</v>
      </c>
      <c r="G31" s="23" t="n">
        <f aca="false">Source_Data!Z31</f>
        <v>35</v>
      </c>
      <c r="H31" s="24" t="n">
        <f aca="false">Source_Data!AV31</f>
        <v>3.64</v>
      </c>
      <c r="I31" s="23" t="n">
        <f aca="false">Source_Data!AW31</f>
        <v>75</v>
      </c>
      <c r="J31" s="23" t="n">
        <f aca="false">Source_Data!AX31</f>
        <v>100</v>
      </c>
      <c r="K31" s="24" t="n">
        <f aca="false">Source_Data!AY31</f>
        <v>4.32</v>
      </c>
      <c r="L31" s="24" t="n">
        <f aca="false">Source_Data!AZ31</f>
        <v>19</v>
      </c>
      <c r="M31" s="24" t="n">
        <f aca="false">Source_Data!AO31</f>
        <v>5</v>
      </c>
      <c r="N31" s="24" t="n">
        <f aca="false">Source_Data!AP31</f>
        <v>7</v>
      </c>
      <c r="O31" s="24" t="n">
        <f aca="false">Source_Data!AR31</f>
        <v>5</v>
      </c>
      <c r="P31" s="24" t="n">
        <f aca="false">Source_Data!AU31</f>
        <v>8</v>
      </c>
      <c r="Q31" s="25" t="str">
        <f aca="false">IF(H31&lt;Controls!$B$4,"Critical",IF(H31&lt;Controls!$B$5,"Needs Support",IF(H31&lt;Controls!$B$6,"Good","Excellent")))</f>
        <v>Needs Support</v>
      </c>
      <c r="R31" s="25" t="str">
        <f aca="false">IF(G31&gt;Controls!$B$7,"High",IF(G31&lt;Controls!$B$8,"Low","Balanced"))</f>
        <v>Balanced</v>
      </c>
      <c r="S31" s="25" t="str">
        <f aca="false">IF(I31&lt;Controls!$B$9,"Yes","No")</f>
        <v>No</v>
      </c>
      <c r="T31" s="25" t="str">
        <f aca="false">IF(J31&lt;Controls!$B$10,"Yes","No")</f>
        <v>No</v>
      </c>
      <c r="U31" s="25" t="str">
        <f aca="false">IF(L31&lt;Controls!$B$11,"Yes","No")</f>
        <v>No</v>
      </c>
      <c r="V31" s="25" t="str">
        <f aca="false">IF(K31&lt;Controls!$B$12,"Yes","No")</f>
        <v>No</v>
      </c>
      <c r="W31" s="25" t="str">
        <f aca="false">IF(G31&gt;Controls!$B$7,"Yes","No")</f>
        <v>No</v>
      </c>
      <c r="X31" s="25" t="n">
        <f aca="false">COUNTIF(S31:W31,"Yes")</f>
        <v>0</v>
      </c>
      <c r="Y31" s="25" t="str">
        <f aca="false">IF(X31&gt;=3,"High",IF(X31=2,"Medium","Low"))</f>
        <v>Low</v>
      </c>
      <c r="Z31" s="25" t="str">
        <f aca="false">IF(S31="Yes","Improve student attendance support",IF(T31="Yes","Accelerate course completion support",IF(U31="Yes","Increase faculty training/coaching",IF(V31="Yes","Target performance coaching",IF(W31="Yes","Rebalance teaching workload","Maintain current teaching plan")))))</f>
        <v>Maintain current teaching plan</v>
      </c>
    </row>
    <row r="32" customFormat="false" ht="15" hidden="false" customHeight="false" outlineLevel="0" collapsed="false">
      <c r="A32" s="22" t="str">
        <f aca="false">Source_Data!A32</f>
        <v>F031</v>
      </c>
      <c r="B32" s="22" t="str">
        <f aca="false">Source_Data!B32</f>
        <v>Faculty_31</v>
      </c>
      <c r="C32" s="22" t="str">
        <f aca="false">Source_Data!E32</f>
        <v>Mathematics</v>
      </c>
      <c r="D32" s="22" t="str">
        <f aca="false">Source_Data!F32</f>
        <v>Assistant Professor</v>
      </c>
      <c r="E32" s="22" t="str">
        <f aca="false">Source_Data!G32</f>
        <v>Part-time</v>
      </c>
      <c r="F32" s="22" t="str">
        <f aca="false">Source_Data!K32</f>
        <v>Business Statistics</v>
      </c>
      <c r="G32" s="23" t="n">
        <f aca="false">Source_Data!Z32</f>
        <v>35</v>
      </c>
      <c r="H32" s="24" t="n">
        <f aca="false">Source_Data!AV32</f>
        <v>4.38</v>
      </c>
      <c r="I32" s="23" t="n">
        <f aca="false">Source_Data!AW32</f>
        <v>74</v>
      </c>
      <c r="J32" s="23" t="n">
        <f aca="false">Source_Data!AX32</f>
        <v>98</v>
      </c>
      <c r="K32" s="24" t="n">
        <f aca="false">Source_Data!AY32</f>
        <v>4.64</v>
      </c>
      <c r="L32" s="24" t="n">
        <f aca="false">Source_Data!AZ32</f>
        <v>15</v>
      </c>
      <c r="M32" s="24" t="n">
        <f aca="false">Source_Data!AO32</f>
        <v>5</v>
      </c>
      <c r="N32" s="24" t="n">
        <f aca="false">Source_Data!AP32</f>
        <v>1</v>
      </c>
      <c r="O32" s="24" t="n">
        <f aca="false">Source_Data!AR32</f>
        <v>3</v>
      </c>
      <c r="P32" s="24" t="n">
        <f aca="false">Source_Data!AU32</f>
        <v>6</v>
      </c>
      <c r="Q32" s="25" t="str">
        <f aca="false">IF(H32&lt;Controls!$B$4,"Critical",IF(H32&lt;Controls!$B$5,"Needs Support",IF(H32&lt;Controls!$B$6,"Good","Excellent")))</f>
        <v>Good</v>
      </c>
      <c r="R32" s="25" t="str">
        <f aca="false">IF(G32&gt;Controls!$B$7,"High",IF(G32&lt;Controls!$B$8,"Low","Balanced"))</f>
        <v>Balanced</v>
      </c>
      <c r="S32" s="25" t="str">
        <f aca="false">IF(I32&lt;Controls!$B$9,"Yes","No")</f>
        <v>Yes</v>
      </c>
      <c r="T32" s="25" t="str">
        <f aca="false">IF(J32&lt;Controls!$B$10,"Yes","No")</f>
        <v>No</v>
      </c>
      <c r="U32" s="25" t="str">
        <f aca="false">IF(L32&lt;Controls!$B$11,"Yes","No")</f>
        <v>No</v>
      </c>
      <c r="V32" s="25" t="str">
        <f aca="false">IF(K32&lt;Controls!$B$12,"Yes","No")</f>
        <v>No</v>
      </c>
      <c r="W32" s="25" t="str">
        <f aca="false">IF(G32&gt;Controls!$B$7,"Yes","No")</f>
        <v>No</v>
      </c>
      <c r="X32" s="25" t="n">
        <f aca="false">COUNTIF(S32:W32,"Yes")</f>
        <v>1</v>
      </c>
      <c r="Y32" s="25" t="str">
        <f aca="false">IF(X32&gt;=3,"High",IF(X32=2,"Medium","Low"))</f>
        <v>Low</v>
      </c>
      <c r="Z32" s="25" t="str">
        <f aca="false">IF(S32="Yes","Improve student attendance support",IF(T32="Yes","Accelerate course completion support",IF(U32="Yes","Increase faculty training/coaching",IF(V32="Yes","Target performance coaching",IF(W32="Yes","Rebalance teaching workload","Maintain current teaching plan")))))</f>
        <v>Improve student attendance support</v>
      </c>
    </row>
    <row r="33" customFormat="false" ht="15" hidden="false" customHeight="false" outlineLevel="0" collapsed="false">
      <c r="A33" s="22" t="str">
        <f aca="false">Source_Data!A33</f>
        <v>F032</v>
      </c>
      <c r="B33" s="22" t="str">
        <f aca="false">Source_Data!B33</f>
        <v>Faculty_32</v>
      </c>
      <c r="C33" s="22" t="str">
        <f aca="false">Source_Data!E33</f>
        <v>Computer Science</v>
      </c>
      <c r="D33" s="22" t="str">
        <f aca="false">Source_Data!F33</f>
        <v>Assistant Professor</v>
      </c>
      <c r="E33" s="22" t="str">
        <f aca="false">Source_Data!G33</f>
        <v>Part-time</v>
      </c>
      <c r="F33" s="22" t="str">
        <f aca="false">Source_Data!K33</f>
        <v>Python Programming</v>
      </c>
      <c r="G33" s="23" t="n">
        <f aca="false">Source_Data!Z33</f>
        <v>40</v>
      </c>
      <c r="H33" s="24" t="n">
        <f aca="false">Source_Data!AV33</f>
        <v>3.12</v>
      </c>
      <c r="I33" s="23" t="n">
        <f aca="false">Source_Data!AW33</f>
        <v>98</v>
      </c>
      <c r="J33" s="23" t="n">
        <f aca="false">Source_Data!AX33</f>
        <v>91</v>
      </c>
      <c r="K33" s="24" t="n">
        <f aca="false">Source_Data!AY33</f>
        <v>3.83</v>
      </c>
      <c r="L33" s="24" t="n">
        <f aca="false">Source_Data!AZ33</f>
        <v>12</v>
      </c>
      <c r="M33" s="24" t="n">
        <f aca="false">Source_Data!AO33</f>
        <v>4</v>
      </c>
      <c r="N33" s="24" t="n">
        <f aca="false">Source_Data!AP33</f>
        <v>7</v>
      </c>
      <c r="O33" s="24" t="n">
        <f aca="false">Source_Data!AR33</f>
        <v>0</v>
      </c>
      <c r="P33" s="24" t="n">
        <f aca="false">Source_Data!AU33</f>
        <v>5</v>
      </c>
      <c r="Q33" s="25" t="str">
        <f aca="false">IF(H33&lt;Controls!$B$4,"Critical",IF(H33&lt;Controls!$B$5,"Needs Support",IF(H33&lt;Controls!$B$6,"Good","Excellent")))</f>
        <v>Critical</v>
      </c>
      <c r="R33" s="25" t="str">
        <f aca="false">IF(G33&gt;Controls!$B$7,"High",IF(G33&lt;Controls!$B$8,"Low","Balanced"))</f>
        <v>Balanced</v>
      </c>
      <c r="S33" s="25" t="str">
        <f aca="false">IF(I33&lt;Controls!$B$9,"Yes","No")</f>
        <v>No</v>
      </c>
      <c r="T33" s="25" t="str">
        <f aca="false">IF(J33&lt;Controls!$B$10,"Yes","No")</f>
        <v>No</v>
      </c>
      <c r="U33" s="25" t="str">
        <f aca="false">IF(L33&lt;Controls!$B$11,"Yes","No")</f>
        <v>No</v>
      </c>
      <c r="V33" s="25" t="str">
        <f aca="false">IF(K33&lt;Controls!$B$12,"Yes","No")</f>
        <v>Yes</v>
      </c>
      <c r="W33" s="25" t="str">
        <f aca="false">IF(G33&gt;Controls!$B$7,"Yes","No")</f>
        <v>No</v>
      </c>
      <c r="X33" s="25" t="n">
        <f aca="false">COUNTIF(S33:W33,"Yes")</f>
        <v>1</v>
      </c>
      <c r="Y33" s="25" t="str">
        <f aca="false">IF(X33&gt;=3,"High",IF(X33=2,"Medium","Low"))</f>
        <v>Low</v>
      </c>
      <c r="Z33" s="25" t="str">
        <f aca="false">IF(S33="Yes","Improve student attendance support",IF(T33="Yes","Accelerate course completion support",IF(U33="Yes","Increase faculty training/coaching",IF(V33="Yes","Target performance coaching",IF(W33="Yes","Rebalance teaching workload","Maintain current teaching plan")))))</f>
        <v>Target performance coaching</v>
      </c>
    </row>
    <row r="34" customFormat="false" ht="15" hidden="false" customHeight="false" outlineLevel="0" collapsed="false">
      <c r="A34" s="22" t="str">
        <f aca="false">Source_Data!A34</f>
        <v>F033</v>
      </c>
      <c r="B34" s="22" t="str">
        <f aca="false">Source_Data!B34</f>
        <v>Faculty_33</v>
      </c>
      <c r="C34" s="22" t="str">
        <f aca="false">Source_Data!E34</f>
        <v>Economics</v>
      </c>
      <c r="D34" s="22" t="str">
        <f aca="false">Source_Data!F34</f>
        <v>Professor</v>
      </c>
      <c r="E34" s="22" t="str">
        <f aca="false">Source_Data!G34</f>
        <v>Full-time</v>
      </c>
      <c r="F34" s="22" t="str">
        <f aca="false">Source_Data!K34</f>
        <v>Python Programming</v>
      </c>
      <c r="G34" s="23" t="n">
        <f aca="false">Source_Data!Z34</f>
        <v>35</v>
      </c>
      <c r="H34" s="24" t="n">
        <f aca="false">Source_Data!AV34</f>
        <v>4.03</v>
      </c>
      <c r="I34" s="23" t="n">
        <f aca="false">Source_Data!AW34</f>
        <v>74</v>
      </c>
      <c r="J34" s="23" t="n">
        <f aca="false">Source_Data!AX34</f>
        <v>85</v>
      </c>
      <c r="K34" s="24" t="n">
        <f aca="false">Source_Data!AY34</f>
        <v>4.14</v>
      </c>
      <c r="L34" s="24" t="n">
        <f aca="false">Source_Data!AZ34</f>
        <v>8</v>
      </c>
      <c r="M34" s="24" t="n">
        <f aca="false">Source_Data!AO34</f>
        <v>8</v>
      </c>
      <c r="N34" s="24" t="n">
        <f aca="false">Source_Data!AP34</f>
        <v>3</v>
      </c>
      <c r="O34" s="24" t="n">
        <f aca="false">Source_Data!AR34</f>
        <v>4</v>
      </c>
      <c r="P34" s="24" t="n">
        <f aca="false">Source_Data!AU34</f>
        <v>3</v>
      </c>
      <c r="Q34" s="25" t="str">
        <f aca="false">IF(H34&lt;Controls!$B$4,"Critical",IF(H34&lt;Controls!$B$5,"Needs Support",IF(H34&lt;Controls!$B$6,"Good","Excellent")))</f>
        <v>Good</v>
      </c>
      <c r="R34" s="25" t="str">
        <f aca="false">IF(G34&gt;Controls!$B$7,"High",IF(G34&lt;Controls!$B$8,"Low","Balanced"))</f>
        <v>Balanced</v>
      </c>
      <c r="S34" s="25" t="str">
        <f aca="false">IF(I34&lt;Controls!$B$9,"Yes","No")</f>
        <v>Yes</v>
      </c>
      <c r="T34" s="25" t="str">
        <f aca="false">IF(J34&lt;Controls!$B$10,"Yes","No")</f>
        <v>No</v>
      </c>
      <c r="U34" s="25" t="str">
        <f aca="false">IF(L34&lt;Controls!$B$11,"Yes","No")</f>
        <v>No</v>
      </c>
      <c r="V34" s="25" t="str">
        <f aca="false">IF(K34&lt;Controls!$B$12,"Yes","No")</f>
        <v>No</v>
      </c>
      <c r="W34" s="25" t="str">
        <f aca="false">IF(G34&gt;Controls!$B$7,"Yes","No")</f>
        <v>No</v>
      </c>
      <c r="X34" s="25" t="n">
        <f aca="false">COUNTIF(S34:W34,"Yes")</f>
        <v>1</v>
      </c>
      <c r="Y34" s="25" t="str">
        <f aca="false">IF(X34&gt;=3,"High",IF(X34=2,"Medium","Low"))</f>
        <v>Low</v>
      </c>
      <c r="Z34" s="25" t="str">
        <f aca="false">IF(S34="Yes","Improve student attendance support",IF(T34="Yes","Accelerate course completion support",IF(U34="Yes","Increase faculty training/coaching",IF(V34="Yes","Target performance coaching",IF(W34="Yes","Rebalance teaching workload","Maintain current teaching plan")))))</f>
        <v>Improve student attendance support</v>
      </c>
    </row>
    <row r="35" customFormat="false" ht="15" hidden="false" customHeight="false" outlineLevel="0" collapsed="false">
      <c r="A35" s="22" t="str">
        <f aca="false">Source_Data!A35</f>
        <v>F034</v>
      </c>
      <c r="B35" s="22" t="str">
        <f aca="false">Source_Data!B35</f>
        <v>Faculty_34</v>
      </c>
      <c r="C35" s="22" t="str">
        <f aca="false">Source_Data!E35</f>
        <v>Mathematics</v>
      </c>
      <c r="D35" s="22" t="str">
        <f aca="false">Source_Data!F35</f>
        <v>Assistant Professor</v>
      </c>
      <c r="E35" s="22" t="str">
        <f aca="false">Source_Data!G35</f>
        <v>Full-time</v>
      </c>
      <c r="F35" s="22" t="str">
        <f aca="false">Source_Data!K35</f>
        <v>Marketing</v>
      </c>
      <c r="G35" s="23" t="n">
        <f aca="false">Source_Data!Z35</f>
        <v>20</v>
      </c>
      <c r="H35" s="24" t="n">
        <f aca="false">Source_Data!AV35</f>
        <v>4.45</v>
      </c>
      <c r="I35" s="23" t="n">
        <f aca="false">Source_Data!AW35</f>
        <v>94</v>
      </c>
      <c r="J35" s="23" t="n">
        <f aca="false">Source_Data!AX35</f>
        <v>84</v>
      </c>
      <c r="K35" s="24" t="n">
        <f aca="false">Source_Data!AY35</f>
        <v>4.33</v>
      </c>
      <c r="L35" s="24" t="n">
        <f aca="false">Source_Data!AZ35</f>
        <v>13</v>
      </c>
      <c r="M35" s="24" t="n">
        <f aca="false">Source_Data!AO35</f>
        <v>2</v>
      </c>
      <c r="N35" s="24" t="n">
        <f aca="false">Source_Data!AP35</f>
        <v>0</v>
      </c>
      <c r="O35" s="24" t="n">
        <f aca="false">Source_Data!AR35</f>
        <v>0</v>
      </c>
      <c r="P35" s="24" t="n">
        <f aca="false">Source_Data!AU35</f>
        <v>3</v>
      </c>
      <c r="Q35" s="25" t="str">
        <f aca="false">IF(H35&lt;Controls!$B$4,"Critical",IF(H35&lt;Controls!$B$5,"Needs Support",IF(H35&lt;Controls!$B$6,"Good","Excellent")))</f>
        <v>Good</v>
      </c>
      <c r="R35" s="25" t="str">
        <f aca="false">IF(G35&gt;Controls!$B$7,"High",IF(G35&lt;Controls!$B$8,"Low","Balanced"))</f>
        <v>Low</v>
      </c>
      <c r="S35" s="25" t="str">
        <f aca="false">IF(I35&lt;Controls!$B$9,"Yes","No")</f>
        <v>No</v>
      </c>
      <c r="T35" s="25" t="str">
        <f aca="false">IF(J35&lt;Controls!$B$10,"Yes","No")</f>
        <v>No</v>
      </c>
      <c r="U35" s="25" t="str">
        <f aca="false">IF(L35&lt;Controls!$B$11,"Yes","No")</f>
        <v>No</v>
      </c>
      <c r="V35" s="25" t="str">
        <f aca="false">IF(K35&lt;Controls!$B$12,"Yes","No")</f>
        <v>No</v>
      </c>
      <c r="W35" s="25" t="str">
        <f aca="false">IF(G35&gt;Controls!$B$7,"Yes","No")</f>
        <v>No</v>
      </c>
      <c r="X35" s="25" t="n">
        <f aca="false">COUNTIF(S35:W35,"Yes")</f>
        <v>0</v>
      </c>
      <c r="Y35" s="25" t="str">
        <f aca="false">IF(X35&gt;=3,"High",IF(X35=2,"Medium","Low"))</f>
        <v>Low</v>
      </c>
      <c r="Z35" s="25" t="str">
        <f aca="false">IF(S35="Yes","Improve student attendance support",IF(T35="Yes","Accelerate course completion support",IF(U35="Yes","Increase faculty training/coaching",IF(V35="Yes","Target performance coaching",IF(W35="Yes","Rebalance teaching workload","Maintain current teaching plan")))))</f>
        <v>Maintain current teaching plan</v>
      </c>
    </row>
    <row r="36" customFormat="false" ht="15" hidden="false" customHeight="false" outlineLevel="0" collapsed="false">
      <c r="A36" s="22" t="str">
        <f aca="false">Source_Data!A36</f>
        <v>F035</v>
      </c>
      <c r="B36" s="22" t="str">
        <f aca="false">Source_Data!B36</f>
        <v>Faculty_35</v>
      </c>
      <c r="C36" s="22" t="str">
        <f aca="false">Source_Data!E36</f>
        <v>Management</v>
      </c>
      <c r="D36" s="22" t="str">
        <f aca="false">Source_Data!F36</f>
        <v>Lecturer</v>
      </c>
      <c r="E36" s="22" t="str">
        <f aca="false">Source_Data!G36</f>
        <v>Part-time</v>
      </c>
      <c r="F36" s="22" t="str">
        <f aca="false">Source_Data!K36</f>
        <v>Data Analytics</v>
      </c>
      <c r="G36" s="23" t="n">
        <f aca="false">Source_Data!Z36</f>
        <v>40</v>
      </c>
      <c r="H36" s="24" t="n">
        <f aca="false">Source_Data!AV36</f>
        <v>3.37</v>
      </c>
      <c r="I36" s="23" t="n">
        <f aca="false">Source_Data!AW36</f>
        <v>100</v>
      </c>
      <c r="J36" s="23" t="n">
        <f aca="false">Source_Data!AX36</f>
        <v>72</v>
      </c>
      <c r="K36" s="24" t="n">
        <f aca="false">Source_Data!AY36</f>
        <v>3.49</v>
      </c>
      <c r="L36" s="24" t="n">
        <f aca="false">Source_Data!AZ36</f>
        <v>5</v>
      </c>
      <c r="M36" s="24" t="n">
        <f aca="false">Source_Data!AO36</f>
        <v>10</v>
      </c>
      <c r="N36" s="24" t="n">
        <f aca="false">Source_Data!AP36</f>
        <v>6</v>
      </c>
      <c r="O36" s="24" t="n">
        <f aca="false">Source_Data!AR36</f>
        <v>4</v>
      </c>
      <c r="P36" s="24" t="n">
        <f aca="false">Source_Data!AU36</f>
        <v>1</v>
      </c>
      <c r="Q36" s="25" t="str">
        <f aca="false">IF(H36&lt;Controls!$B$4,"Critical",IF(H36&lt;Controls!$B$5,"Needs Support",IF(H36&lt;Controls!$B$6,"Good","Excellent")))</f>
        <v>Critical</v>
      </c>
      <c r="R36" s="25" t="str">
        <f aca="false">IF(G36&gt;Controls!$B$7,"High",IF(G36&lt;Controls!$B$8,"Low","Balanced"))</f>
        <v>Balanced</v>
      </c>
      <c r="S36" s="25" t="str">
        <f aca="false">IF(I36&lt;Controls!$B$9,"Yes","No")</f>
        <v>No</v>
      </c>
      <c r="T36" s="25" t="str">
        <f aca="false">IF(J36&lt;Controls!$B$10,"Yes","No")</f>
        <v>Yes</v>
      </c>
      <c r="U36" s="25" t="str">
        <f aca="false">IF(L36&lt;Controls!$B$11,"Yes","No")</f>
        <v>Yes</v>
      </c>
      <c r="V36" s="25" t="str">
        <f aca="false">IF(K36&lt;Controls!$B$12,"Yes","No")</f>
        <v>Yes</v>
      </c>
      <c r="W36" s="25" t="str">
        <f aca="false">IF(G36&gt;Controls!$B$7,"Yes","No")</f>
        <v>No</v>
      </c>
      <c r="X36" s="25" t="n">
        <f aca="false">COUNTIF(S36:W36,"Yes")</f>
        <v>3</v>
      </c>
      <c r="Y36" s="25" t="str">
        <f aca="false">IF(X36&gt;=3,"High",IF(X36=2,"Medium","Low"))</f>
        <v>High</v>
      </c>
      <c r="Z36" s="25" t="str">
        <f aca="false">IF(S36="Yes","Improve student attendance support",IF(T36="Yes","Accelerate course completion support",IF(U36="Yes","Increase faculty training/coaching",IF(V36="Yes","Target performance coaching",IF(W36="Yes","Rebalance teaching workload","Maintain current teaching plan")))))</f>
        <v>Accelerate course completion support</v>
      </c>
    </row>
    <row r="37" customFormat="false" ht="15" hidden="false" customHeight="false" outlineLevel="0" collapsed="false">
      <c r="A37" s="22" t="str">
        <f aca="false">Source_Data!A37</f>
        <v>F036</v>
      </c>
      <c r="B37" s="22" t="str">
        <f aca="false">Source_Data!B37</f>
        <v>Faculty_36</v>
      </c>
      <c r="C37" s="22" t="str">
        <f aca="false">Source_Data!E37</f>
        <v>Economics</v>
      </c>
      <c r="D37" s="22" t="str">
        <f aca="false">Source_Data!F37</f>
        <v>Professor</v>
      </c>
      <c r="E37" s="22" t="str">
        <f aca="false">Source_Data!G37</f>
        <v>Full-time</v>
      </c>
      <c r="F37" s="22" t="str">
        <f aca="false">Source_Data!K37</f>
        <v>Data Analytics</v>
      </c>
      <c r="G37" s="23" t="n">
        <f aca="false">Source_Data!Z37</f>
        <v>35</v>
      </c>
      <c r="H37" s="24" t="n">
        <f aca="false">Source_Data!AV37</f>
        <v>3.99</v>
      </c>
      <c r="I37" s="23" t="n">
        <f aca="false">Source_Data!AW37</f>
        <v>88</v>
      </c>
      <c r="J37" s="23" t="n">
        <f aca="false">Source_Data!AX37</f>
        <v>92</v>
      </c>
      <c r="K37" s="24" t="n">
        <f aca="false">Source_Data!AY37</f>
        <v>4.29</v>
      </c>
      <c r="L37" s="24" t="n">
        <f aca="false">Source_Data!AZ37</f>
        <v>5</v>
      </c>
      <c r="M37" s="24" t="n">
        <f aca="false">Source_Data!AO37</f>
        <v>2</v>
      </c>
      <c r="N37" s="24" t="n">
        <f aca="false">Source_Data!AP37</f>
        <v>0</v>
      </c>
      <c r="O37" s="24" t="n">
        <f aca="false">Source_Data!AR37</f>
        <v>5</v>
      </c>
      <c r="P37" s="24" t="n">
        <f aca="false">Source_Data!AU37</f>
        <v>5</v>
      </c>
      <c r="Q37" s="25" t="str">
        <f aca="false">IF(H37&lt;Controls!$B$4,"Critical",IF(H37&lt;Controls!$B$5,"Needs Support",IF(H37&lt;Controls!$B$6,"Good","Excellent")))</f>
        <v>Needs Support</v>
      </c>
      <c r="R37" s="25" t="str">
        <f aca="false">IF(G37&gt;Controls!$B$7,"High",IF(G37&lt;Controls!$B$8,"Low","Balanced"))</f>
        <v>Balanced</v>
      </c>
      <c r="S37" s="25" t="str">
        <f aca="false">IF(I37&lt;Controls!$B$9,"Yes","No")</f>
        <v>No</v>
      </c>
      <c r="T37" s="25" t="str">
        <f aca="false">IF(J37&lt;Controls!$B$10,"Yes","No")</f>
        <v>No</v>
      </c>
      <c r="U37" s="25" t="str">
        <f aca="false">IF(L37&lt;Controls!$B$11,"Yes","No")</f>
        <v>Yes</v>
      </c>
      <c r="V37" s="25" t="str">
        <f aca="false">IF(K37&lt;Controls!$B$12,"Yes","No")</f>
        <v>No</v>
      </c>
      <c r="W37" s="25" t="str">
        <f aca="false">IF(G37&gt;Controls!$B$7,"Yes","No")</f>
        <v>No</v>
      </c>
      <c r="X37" s="25" t="n">
        <f aca="false">COUNTIF(S37:W37,"Yes")</f>
        <v>1</v>
      </c>
      <c r="Y37" s="25" t="str">
        <f aca="false">IF(X37&gt;=3,"High",IF(X37=2,"Medium","Low"))</f>
        <v>Low</v>
      </c>
      <c r="Z37" s="25" t="str">
        <f aca="false">IF(S37="Yes","Improve student attendance support",IF(T37="Yes","Accelerate course completion support",IF(U37="Yes","Increase faculty training/coaching",IF(V37="Yes","Target performance coaching",IF(W37="Yes","Rebalance teaching workload","Maintain current teaching plan")))))</f>
        <v>Increase faculty training/coaching</v>
      </c>
    </row>
    <row r="38" customFormat="false" ht="15" hidden="false" customHeight="false" outlineLevel="0" collapsed="false">
      <c r="A38" s="22" t="str">
        <f aca="false">Source_Data!A38</f>
        <v>F037</v>
      </c>
      <c r="B38" s="22" t="str">
        <f aca="false">Source_Data!B38</f>
        <v>Faculty_37</v>
      </c>
      <c r="C38" s="22" t="str">
        <f aca="false">Source_Data!E38</f>
        <v>Commerce</v>
      </c>
      <c r="D38" s="22" t="str">
        <f aca="false">Source_Data!F38</f>
        <v>Assistant Professor</v>
      </c>
      <c r="E38" s="22" t="str">
        <f aca="false">Source_Data!G38</f>
        <v>Visiting</v>
      </c>
      <c r="F38" s="22" t="str">
        <f aca="false">Source_Data!K38</f>
        <v>Business Statistics</v>
      </c>
      <c r="G38" s="23" t="n">
        <f aca="false">Source_Data!Z38</f>
        <v>25</v>
      </c>
      <c r="H38" s="24" t="n">
        <f aca="false">Source_Data!AV38</f>
        <v>4.99</v>
      </c>
      <c r="I38" s="23" t="n">
        <f aca="false">Source_Data!AW38</f>
        <v>85</v>
      </c>
      <c r="J38" s="23" t="n">
        <f aca="false">Source_Data!AX38</f>
        <v>77</v>
      </c>
      <c r="K38" s="24" t="n">
        <f aca="false">Source_Data!AY38</f>
        <v>4.42</v>
      </c>
      <c r="L38" s="24" t="n">
        <f aca="false">Source_Data!AZ38</f>
        <v>12</v>
      </c>
      <c r="M38" s="24" t="n">
        <f aca="false">Source_Data!AO38</f>
        <v>3</v>
      </c>
      <c r="N38" s="24" t="n">
        <f aca="false">Source_Data!AP38</f>
        <v>2</v>
      </c>
      <c r="O38" s="24" t="n">
        <f aca="false">Source_Data!AR38</f>
        <v>5</v>
      </c>
      <c r="P38" s="24" t="n">
        <f aca="false">Source_Data!AU38</f>
        <v>1</v>
      </c>
      <c r="Q38" s="25" t="str">
        <f aca="false">IF(H38&lt;Controls!$B$4,"Critical",IF(H38&lt;Controls!$B$5,"Needs Support",IF(H38&lt;Controls!$B$6,"Good","Excellent")))</f>
        <v>Excellent</v>
      </c>
      <c r="R38" s="25" t="str">
        <f aca="false">IF(G38&gt;Controls!$B$7,"High",IF(G38&lt;Controls!$B$8,"Low","Balanced"))</f>
        <v>Balanced</v>
      </c>
      <c r="S38" s="25" t="str">
        <f aca="false">IF(I38&lt;Controls!$B$9,"Yes","No")</f>
        <v>No</v>
      </c>
      <c r="T38" s="25" t="str">
        <f aca="false">IF(J38&lt;Controls!$B$10,"Yes","No")</f>
        <v>Yes</v>
      </c>
      <c r="U38" s="25" t="str">
        <f aca="false">IF(L38&lt;Controls!$B$11,"Yes","No")</f>
        <v>No</v>
      </c>
      <c r="V38" s="25" t="str">
        <f aca="false">IF(K38&lt;Controls!$B$12,"Yes","No")</f>
        <v>No</v>
      </c>
      <c r="W38" s="25" t="str">
        <f aca="false">IF(G38&gt;Controls!$B$7,"Yes","No")</f>
        <v>No</v>
      </c>
      <c r="X38" s="25" t="n">
        <f aca="false">COUNTIF(S38:W38,"Yes")</f>
        <v>1</v>
      </c>
      <c r="Y38" s="25" t="str">
        <f aca="false">IF(X38&gt;=3,"High",IF(X38=2,"Medium","Low"))</f>
        <v>Low</v>
      </c>
      <c r="Z38" s="25" t="str">
        <f aca="false">IF(S38="Yes","Improve student attendance support",IF(T38="Yes","Accelerate course completion support",IF(U38="Yes","Increase faculty training/coaching",IF(V38="Yes","Target performance coaching",IF(W38="Yes","Rebalance teaching workload","Maintain current teaching plan")))))</f>
        <v>Accelerate course completion support</v>
      </c>
    </row>
    <row r="39" customFormat="false" ht="15" hidden="false" customHeight="false" outlineLevel="0" collapsed="false">
      <c r="A39" s="22" t="str">
        <f aca="false">Source_Data!A39</f>
        <v>F038</v>
      </c>
      <c r="B39" s="22" t="str">
        <f aca="false">Source_Data!B39</f>
        <v>Faculty_38</v>
      </c>
      <c r="C39" s="22" t="str">
        <f aca="false">Source_Data!E39</f>
        <v>Computer Science</v>
      </c>
      <c r="D39" s="22" t="str">
        <f aca="false">Source_Data!F39</f>
        <v>Assistant Professor</v>
      </c>
      <c r="E39" s="22" t="str">
        <f aca="false">Source_Data!G39</f>
        <v>Part-time</v>
      </c>
      <c r="F39" s="22" t="str">
        <f aca="false">Source_Data!K39</f>
        <v>Marketing</v>
      </c>
      <c r="G39" s="23" t="n">
        <f aca="false">Source_Data!Z39</f>
        <v>30</v>
      </c>
      <c r="H39" s="24" t="n">
        <f aca="false">Source_Data!AV39</f>
        <v>4.21</v>
      </c>
      <c r="I39" s="23" t="n">
        <f aca="false">Source_Data!AW39</f>
        <v>80</v>
      </c>
      <c r="J39" s="23" t="n">
        <f aca="false">Source_Data!AX39</f>
        <v>81</v>
      </c>
      <c r="K39" s="24" t="n">
        <f aca="false">Source_Data!AY39</f>
        <v>4.13</v>
      </c>
      <c r="L39" s="24" t="n">
        <f aca="false">Source_Data!AZ39</f>
        <v>7</v>
      </c>
      <c r="M39" s="24" t="n">
        <f aca="false">Source_Data!AO39</f>
        <v>8</v>
      </c>
      <c r="N39" s="24" t="n">
        <f aca="false">Source_Data!AP39</f>
        <v>5</v>
      </c>
      <c r="O39" s="24" t="n">
        <f aca="false">Source_Data!AR39</f>
        <v>5</v>
      </c>
      <c r="P39" s="24" t="n">
        <f aca="false">Source_Data!AU39</f>
        <v>3</v>
      </c>
      <c r="Q39" s="25" t="str">
        <f aca="false">IF(H39&lt;Controls!$B$4,"Critical",IF(H39&lt;Controls!$B$5,"Needs Support",IF(H39&lt;Controls!$B$6,"Good","Excellent")))</f>
        <v>Good</v>
      </c>
      <c r="R39" s="25" t="str">
        <f aca="false">IF(G39&gt;Controls!$B$7,"High",IF(G39&lt;Controls!$B$8,"Low","Balanced"))</f>
        <v>Balanced</v>
      </c>
      <c r="S39" s="25" t="str">
        <f aca="false">IF(I39&lt;Controls!$B$9,"Yes","No")</f>
        <v>No</v>
      </c>
      <c r="T39" s="25" t="str">
        <f aca="false">IF(J39&lt;Controls!$B$10,"Yes","No")</f>
        <v>No</v>
      </c>
      <c r="U39" s="25" t="str">
        <f aca="false">IF(L39&lt;Controls!$B$11,"Yes","No")</f>
        <v>Yes</v>
      </c>
      <c r="V39" s="25" t="str">
        <f aca="false">IF(K39&lt;Controls!$B$12,"Yes","No")</f>
        <v>No</v>
      </c>
      <c r="W39" s="25" t="str">
        <f aca="false">IF(G39&gt;Controls!$B$7,"Yes","No")</f>
        <v>No</v>
      </c>
      <c r="X39" s="25" t="n">
        <f aca="false">COUNTIF(S39:W39,"Yes")</f>
        <v>1</v>
      </c>
      <c r="Y39" s="25" t="str">
        <f aca="false">IF(X39&gt;=3,"High",IF(X39=2,"Medium","Low"))</f>
        <v>Low</v>
      </c>
      <c r="Z39" s="25" t="str">
        <f aca="false">IF(S39="Yes","Improve student attendance support",IF(T39="Yes","Accelerate course completion support",IF(U39="Yes","Increase faculty training/coaching",IF(V39="Yes","Target performance coaching",IF(W39="Yes","Rebalance teaching workload","Maintain current teaching plan")))))</f>
        <v>Increase faculty training/coaching</v>
      </c>
    </row>
    <row r="40" customFormat="false" ht="15" hidden="false" customHeight="false" outlineLevel="0" collapsed="false">
      <c r="A40" s="22" t="str">
        <f aca="false">Source_Data!A40</f>
        <v>F039</v>
      </c>
      <c r="B40" s="22" t="str">
        <f aca="false">Source_Data!B40</f>
        <v>Faculty_39</v>
      </c>
      <c r="C40" s="22" t="str">
        <f aca="false">Source_Data!E40</f>
        <v>Mathematics</v>
      </c>
      <c r="D40" s="22" t="str">
        <f aca="false">Source_Data!F40</f>
        <v>Lecturer</v>
      </c>
      <c r="E40" s="22" t="str">
        <f aca="false">Source_Data!G40</f>
        <v>Part-time</v>
      </c>
      <c r="F40" s="22" t="str">
        <f aca="false">Source_Data!K40</f>
        <v>Financial Management</v>
      </c>
      <c r="G40" s="23" t="n">
        <f aca="false">Source_Data!Z40</f>
        <v>50</v>
      </c>
      <c r="H40" s="24" t="n">
        <f aca="false">Source_Data!AV40</f>
        <v>3.18</v>
      </c>
      <c r="I40" s="23" t="n">
        <f aca="false">Source_Data!AW40</f>
        <v>69</v>
      </c>
      <c r="J40" s="23" t="n">
        <f aca="false">Source_Data!AX40</f>
        <v>79</v>
      </c>
      <c r="K40" s="24" t="n">
        <f aca="false">Source_Data!AY40</f>
        <v>3.57</v>
      </c>
      <c r="L40" s="24" t="n">
        <f aca="false">Source_Data!AZ40</f>
        <v>5</v>
      </c>
      <c r="M40" s="24" t="n">
        <f aca="false">Source_Data!AO40</f>
        <v>10</v>
      </c>
      <c r="N40" s="24" t="n">
        <f aca="false">Source_Data!AP40</f>
        <v>5</v>
      </c>
      <c r="O40" s="24" t="n">
        <f aca="false">Source_Data!AR40</f>
        <v>5</v>
      </c>
      <c r="P40" s="24" t="n">
        <f aca="false">Source_Data!AU40</f>
        <v>6</v>
      </c>
      <c r="Q40" s="25" t="str">
        <f aca="false">IF(H40&lt;Controls!$B$4,"Critical",IF(H40&lt;Controls!$B$5,"Needs Support",IF(H40&lt;Controls!$B$6,"Good","Excellent")))</f>
        <v>Critical</v>
      </c>
      <c r="R40" s="25" t="str">
        <f aca="false">IF(G40&gt;Controls!$B$7,"High",IF(G40&lt;Controls!$B$8,"Low","Balanced"))</f>
        <v>High</v>
      </c>
      <c r="S40" s="25" t="str">
        <f aca="false">IF(I40&lt;Controls!$B$9,"Yes","No")</f>
        <v>Yes</v>
      </c>
      <c r="T40" s="25" t="str">
        <f aca="false">IF(J40&lt;Controls!$B$10,"Yes","No")</f>
        <v>Yes</v>
      </c>
      <c r="U40" s="25" t="str">
        <f aca="false">IF(L40&lt;Controls!$B$11,"Yes","No")</f>
        <v>Yes</v>
      </c>
      <c r="V40" s="25" t="str">
        <f aca="false">IF(K40&lt;Controls!$B$12,"Yes","No")</f>
        <v>Yes</v>
      </c>
      <c r="W40" s="25" t="str">
        <f aca="false">IF(G40&gt;Controls!$B$7,"Yes","No")</f>
        <v>Yes</v>
      </c>
      <c r="X40" s="25" t="n">
        <f aca="false">COUNTIF(S40:W40,"Yes")</f>
        <v>5</v>
      </c>
      <c r="Y40" s="25" t="str">
        <f aca="false">IF(X40&gt;=3,"High",IF(X40=2,"Medium","Low"))</f>
        <v>High</v>
      </c>
      <c r="Z40" s="25" t="str">
        <f aca="false">IF(S40="Yes","Improve student attendance support",IF(T40="Yes","Accelerate course completion support",IF(U40="Yes","Increase faculty training/coaching",IF(V40="Yes","Target performance coaching",IF(W40="Yes","Rebalance teaching workload","Maintain current teaching plan")))))</f>
        <v>Improve student attendance support</v>
      </c>
    </row>
    <row r="41" customFormat="false" ht="15" hidden="false" customHeight="false" outlineLevel="0" collapsed="false">
      <c r="A41" s="22" t="str">
        <f aca="false">Source_Data!A41</f>
        <v>F040</v>
      </c>
      <c r="B41" s="22" t="str">
        <f aca="false">Source_Data!B41</f>
        <v>Faculty_40</v>
      </c>
      <c r="C41" s="22" t="str">
        <f aca="false">Source_Data!E41</f>
        <v>Commerce</v>
      </c>
      <c r="D41" s="22" t="str">
        <f aca="false">Source_Data!F41</f>
        <v>Professor</v>
      </c>
      <c r="E41" s="22" t="str">
        <f aca="false">Source_Data!G41</f>
        <v>Visiting</v>
      </c>
      <c r="F41" s="22" t="str">
        <f aca="false">Source_Data!K41</f>
        <v>Python Programming</v>
      </c>
      <c r="G41" s="23" t="n">
        <f aca="false">Source_Data!Z41</f>
        <v>15</v>
      </c>
      <c r="H41" s="24" t="n">
        <f aca="false">Source_Data!AV41</f>
        <v>3.82</v>
      </c>
      <c r="I41" s="23" t="n">
        <f aca="false">Source_Data!AW41</f>
        <v>66</v>
      </c>
      <c r="J41" s="23" t="n">
        <f aca="false">Source_Data!AX41</f>
        <v>82</v>
      </c>
      <c r="K41" s="24" t="n">
        <f aca="false">Source_Data!AY41</f>
        <v>3.96</v>
      </c>
      <c r="L41" s="24" t="n">
        <f aca="false">Source_Data!AZ41</f>
        <v>5</v>
      </c>
      <c r="M41" s="24" t="n">
        <f aca="false">Source_Data!AO41</f>
        <v>9</v>
      </c>
      <c r="N41" s="24" t="n">
        <f aca="false">Source_Data!AP41</f>
        <v>4</v>
      </c>
      <c r="O41" s="24" t="n">
        <f aca="false">Source_Data!AR41</f>
        <v>3</v>
      </c>
      <c r="P41" s="24" t="n">
        <f aca="false">Source_Data!AU41</f>
        <v>0</v>
      </c>
      <c r="Q41" s="25" t="str">
        <f aca="false">IF(H41&lt;Controls!$B$4,"Critical",IF(H41&lt;Controls!$B$5,"Needs Support",IF(H41&lt;Controls!$B$6,"Good","Excellent")))</f>
        <v>Needs Support</v>
      </c>
      <c r="R41" s="25" t="str">
        <f aca="false">IF(G41&gt;Controls!$B$7,"High",IF(G41&lt;Controls!$B$8,"Low","Balanced"))</f>
        <v>Low</v>
      </c>
      <c r="S41" s="25" t="str">
        <f aca="false">IF(I41&lt;Controls!$B$9,"Yes","No")</f>
        <v>Yes</v>
      </c>
      <c r="T41" s="25" t="str">
        <f aca="false">IF(J41&lt;Controls!$B$10,"Yes","No")</f>
        <v>No</v>
      </c>
      <c r="U41" s="25" t="str">
        <f aca="false">IF(L41&lt;Controls!$B$11,"Yes","No")</f>
        <v>Yes</v>
      </c>
      <c r="V41" s="25" t="str">
        <f aca="false">IF(K41&lt;Controls!$B$12,"Yes","No")</f>
        <v>Yes</v>
      </c>
      <c r="W41" s="25" t="str">
        <f aca="false">IF(G41&gt;Controls!$B$7,"Yes","No")</f>
        <v>No</v>
      </c>
      <c r="X41" s="25" t="n">
        <f aca="false">COUNTIF(S41:W41,"Yes")</f>
        <v>3</v>
      </c>
      <c r="Y41" s="25" t="str">
        <f aca="false">IF(X41&gt;=3,"High",IF(X41=2,"Medium","Low"))</f>
        <v>High</v>
      </c>
      <c r="Z41" s="25" t="str">
        <f aca="false">IF(S41="Yes","Improve student attendance support",IF(T41="Yes","Accelerate course completion support",IF(U41="Yes","Increase faculty training/coaching",IF(V41="Yes","Target performance coaching",IF(W41="Yes","Rebalance teaching workload","Maintain current teaching plan")))))</f>
        <v>Improve student attendance support</v>
      </c>
    </row>
    <row r="42" customFormat="false" ht="15" hidden="false" customHeight="false" outlineLevel="0" collapsed="false">
      <c r="A42" s="22" t="str">
        <f aca="false">Source_Data!A42</f>
        <v>F041</v>
      </c>
      <c r="B42" s="22" t="str">
        <f aca="false">Source_Data!B42</f>
        <v>Faculty_41</v>
      </c>
      <c r="C42" s="22" t="str">
        <f aca="false">Source_Data!E42</f>
        <v>Management</v>
      </c>
      <c r="D42" s="22" t="str">
        <f aca="false">Source_Data!F42</f>
        <v>Assistant Professor</v>
      </c>
      <c r="E42" s="22" t="str">
        <f aca="false">Source_Data!G42</f>
        <v>Full-time</v>
      </c>
      <c r="F42" s="22" t="str">
        <f aca="false">Source_Data!K42</f>
        <v>Business Statistics</v>
      </c>
      <c r="G42" s="23" t="n">
        <f aca="false">Source_Data!Z42</f>
        <v>20</v>
      </c>
      <c r="H42" s="24" t="n">
        <f aca="false">Source_Data!AV42</f>
        <v>4.42</v>
      </c>
      <c r="I42" s="23" t="n">
        <f aca="false">Source_Data!AW42</f>
        <v>60</v>
      </c>
      <c r="J42" s="23" t="n">
        <f aca="false">Source_Data!AX42</f>
        <v>79</v>
      </c>
      <c r="K42" s="24" t="n">
        <f aca="false">Source_Data!AY42</f>
        <v>4.19</v>
      </c>
      <c r="L42" s="24" t="n">
        <f aca="false">Source_Data!AZ42</f>
        <v>12</v>
      </c>
      <c r="M42" s="24" t="n">
        <f aca="false">Source_Data!AO42</f>
        <v>3</v>
      </c>
      <c r="N42" s="24" t="n">
        <f aca="false">Source_Data!AP42</f>
        <v>1</v>
      </c>
      <c r="O42" s="24" t="n">
        <f aca="false">Source_Data!AR42</f>
        <v>5</v>
      </c>
      <c r="P42" s="24" t="n">
        <f aca="false">Source_Data!AU42</f>
        <v>4</v>
      </c>
      <c r="Q42" s="25" t="str">
        <f aca="false">IF(H42&lt;Controls!$B$4,"Critical",IF(H42&lt;Controls!$B$5,"Needs Support",IF(H42&lt;Controls!$B$6,"Good","Excellent")))</f>
        <v>Good</v>
      </c>
      <c r="R42" s="25" t="str">
        <f aca="false">IF(G42&gt;Controls!$B$7,"High",IF(G42&lt;Controls!$B$8,"Low","Balanced"))</f>
        <v>Low</v>
      </c>
      <c r="S42" s="25" t="str">
        <f aca="false">IF(I42&lt;Controls!$B$9,"Yes","No")</f>
        <v>Yes</v>
      </c>
      <c r="T42" s="25" t="str">
        <f aca="false">IF(J42&lt;Controls!$B$10,"Yes","No")</f>
        <v>Yes</v>
      </c>
      <c r="U42" s="25" t="str">
        <f aca="false">IF(L42&lt;Controls!$B$11,"Yes","No")</f>
        <v>No</v>
      </c>
      <c r="V42" s="25" t="str">
        <f aca="false">IF(K42&lt;Controls!$B$12,"Yes","No")</f>
        <v>No</v>
      </c>
      <c r="W42" s="25" t="str">
        <f aca="false">IF(G42&gt;Controls!$B$7,"Yes","No")</f>
        <v>No</v>
      </c>
      <c r="X42" s="25" t="n">
        <f aca="false">COUNTIF(S42:W42,"Yes")</f>
        <v>2</v>
      </c>
      <c r="Y42" s="25" t="str">
        <f aca="false">IF(X42&gt;=3,"High",IF(X42=2,"Medium","Low"))</f>
        <v>Medium</v>
      </c>
      <c r="Z42" s="25" t="str">
        <f aca="false">IF(S42="Yes","Improve student attendance support",IF(T42="Yes","Accelerate course completion support",IF(U42="Yes","Increase faculty training/coaching",IF(V42="Yes","Target performance coaching",IF(W42="Yes","Rebalance teaching workload","Maintain current teaching plan")))))</f>
        <v>Improve student attendance support</v>
      </c>
    </row>
    <row r="43" customFormat="false" ht="15" hidden="false" customHeight="false" outlineLevel="0" collapsed="false">
      <c r="A43" s="22" t="str">
        <f aca="false">Source_Data!A43</f>
        <v>F042</v>
      </c>
      <c r="B43" s="22" t="str">
        <f aca="false">Source_Data!B43</f>
        <v>Faculty_42</v>
      </c>
      <c r="C43" s="22" t="str">
        <f aca="false">Source_Data!E43</f>
        <v>Commerce</v>
      </c>
      <c r="D43" s="22" t="str">
        <f aca="false">Source_Data!F43</f>
        <v>Professor</v>
      </c>
      <c r="E43" s="22" t="str">
        <f aca="false">Source_Data!G43</f>
        <v>Full-time</v>
      </c>
      <c r="F43" s="22" t="str">
        <f aca="false">Source_Data!K43</f>
        <v>Data Analytics</v>
      </c>
      <c r="G43" s="23" t="n">
        <f aca="false">Source_Data!Z43</f>
        <v>30</v>
      </c>
      <c r="H43" s="24" t="n">
        <f aca="false">Source_Data!AV43</f>
        <v>4.37</v>
      </c>
      <c r="I43" s="23" t="n">
        <f aca="false">Source_Data!AW43</f>
        <v>60</v>
      </c>
      <c r="J43" s="23" t="n">
        <f aca="false">Source_Data!AX43</f>
        <v>75</v>
      </c>
      <c r="K43" s="24" t="n">
        <f aca="false">Source_Data!AY43</f>
        <v>4.06</v>
      </c>
      <c r="L43" s="24" t="n">
        <f aca="false">Source_Data!AZ43</f>
        <v>7</v>
      </c>
      <c r="M43" s="24" t="n">
        <f aca="false">Source_Data!AO43</f>
        <v>1</v>
      </c>
      <c r="N43" s="24" t="n">
        <f aca="false">Source_Data!AP43</f>
        <v>8</v>
      </c>
      <c r="O43" s="24" t="n">
        <f aca="false">Source_Data!AR43</f>
        <v>2</v>
      </c>
      <c r="P43" s="24" t="n">
        <f aca="false">Source_Data!AU43</f>
        <v>0</v>
      </c>
      <c r="Q43" s="25" t="str">
        <f aca="false">IF(H43&lt;Controls!$B$4,"Critical",IF(H43&lt;Controls!$B$5,"Needs Support",IF(H43&lt;Controls!$B$6,"Good","Excellent")))</f>
        <v>Good</v>
      </c>
      <c r="R43" s="25" t="str">
        <f aca="false">IF(G43&gt;Controls!$B$7,"High",IF(G43&lt;Controls!$B$8,"Low","Balanced"))</f>
        <v>Balanced</v>
      </c>
      <c r="S43" s="25" t="str">
        <f aca="false">IF(I43&lt;Controls!$B$9,"Yes","No")</f>
        <v>Yes</v>
      </c>
      <c r="T43" s="25" t="str">
        <f aca="false">IF(J43&lt;Controls!$B$10,"Yes","No")</f>
        <v>Yes</v>
      </c>
      <c r="U43" s="25" t="str">
        <f aca="false">IF(L43&lt;Controls!$B$11,"Yes","No")</f>
        <v>Yes</v>
      </c>
      <c r="V43" s="25" t="str">
        <f aca="false">IF(K43&lt;Controls!$B$12,"Yes","No")</f>
        <v>No</v>
      </c>
      <c r="W43" s="25" t="str">
        <f aca="false">IF(G43&gt;Controls!$B$7,"Yes","No")</f>
        <v>No</v>
      </c>
      <c r="X43" s="25" t="n">
        <f aca="false">COUNTIF(S43:W43,"Yes")</f>
        <v>3</v>
      </c>
      <c r="Y43" s="25" t="str">
        <f aca="false">IF(X43&gt;=3,"High",IF(X43=2,"Medium","Low"))</f>
        <v>High</v>
      </c>
      <c r="Z43" s="25" t="str">
        <f aca="false">IF(S43="Yes","Improve student attendance support",IF(T43="Yes","Accelerate course completion support",IF(U43="Yes","Increase faculty training/coaching",IF(V43="Yes","Target performance coaching",IF(W43="Yes","Rebalance teaching workload","Maintain current teaching plan")))))</f>
        <v>Improve student attendance support</v>
      </c>
    </row>
    <row r="44" customFormat="false" ht="15" hidden="false" customHeight="false" outlineLevel="0" collapsed="false">
      <c r="A44" s="22" t="str">
        <f aca="false">Source_Data!A44</f>
        <v>F043</v>
      </c>
      <c r="B44" s="22" t="str">
        <f aca="false">Source_Data!B44</f>
        <v>Faculty_43</v>
      </c>
      <c r="C44" s="22" t="str">
        <f aca="false">Source_Data!E44</f>
        <v>Economics</v>
      </c>
      <c r="D44" s="22" t="str">
        <f aca="false">Source_Data!F44</f>
        <v>Assistant Professor</v>
      </c>
      <c r="E44" s="22" t="str">
        <f aca="false">Source_Data!G44</f>
        <v>Part-time</v>
      </c>
      <c r="F44" s="22" t="str">
        <f aca="false">Source_Data!K44</f>
        <v>Marketing</v>
      </c>
      <c r="G44" s="23" t="n">
        <f aca="false">Source_Data!Z44</f>
        <v>35</v>
      </c>
      <c r="H44" s="24" t="n">
        <f aca="false">Source_Data!AV44</f>
        <v>4.99</v>
      </c>
      <c r="I44" s="23" t="n">
        <f aca="false">Source_Data!AW44</f>
        <v>77</v>
      </c>
      <c r="J44" s="23" t="n">
        <f aca="false">Source_Data!AX44</f>
        <v>70</v>
      </c>
      <c r="K44" s="24" t="n">
        <f aca="false">Source_Data!AY44</f>
        <v>4.25</v>
      </c>
      <c r="L44" s="24" t="n">
        <f aca="false">Source_Data!AZ44</f>
        <v>10</v>
      </c>
      <c r="M44" s="24" t="n">
        <f aca="false">Source_Data!AO44</f>
        <v>9</v>
      </c>
      <c r="N44" s="24" t="n">
        <f aca="false">Source_Data!AP44</f>
        <v>8</v>
      </c>
      <c r="O44" s="24" t="n">
        <f aca="false">Source_Data!AR44</f>
        <v>4</v>
      </c>
      <c r="P44" s="24" t="n">
        <f aca="false">Source_Data!AU44</f>
        <v>5</v>
      </c>
      <c r="Q44" s="25" t="str">
        <f aca="false">IF(H44&lt;Controls!$B$4,"Critical",IF(H44&lt;Controls!$B$5,"Needs Support",IF(H44&lt;Controls!$B$6,"Good","Excellent")))</f>
        <v>Excellent</v>
      </c>
      <c r="R44" s="25" t="str">
        <f aca="false">IF(G44&gt;Controls!$B$7,"High",IF(G44&lt;Controls!$B$8,"Low","Balanced"))</f>
        <v>Balanced</v>
      </c>
      <c r="S44" s="25" t="str">
        <f aca="false">IF(I44&lt;Controls!$B$9,"Yes","No")</f>
        <v>No</v>
      </c>
      <c r="T44" s="25" t="str">
        <f aca="false">IF(J44&lt;Controls!$B$10,"Yes","No")</f>
        <v>Yes</v>
      </c>
      <c r="U44" s="25" t="str">
        <f aca="false">IF(L44&lt;Controls!$B$11,"Yes","No")</f>
        <v>No</v>
      </c>
      <c r="V44" s="25" t="str">
        <f aca="false">IF(K44&lt;Controls!$B$12,"Yes","No")</f>
        <v>No</v>
      </c>
      <c r="W44" s="25" t="str">
        <f aca="false">IF(G44&gt;Controls!$B$7,"Yes","No")</f>
        <v>No</v>
      </c>
      <c r="X44" s="25" t="n">
        <f aca="false">COUNTIF(S44:W44,"Yes")</f>
        <v>1</v>
      </c>
      <c r="Y44" s="25" t="str">
        <f aca="false">IF(X44&gt;=3,"High",IF(X44=2,"Medium","Low"))</f>
        <v>Low</v>
      </c>
      <c r="Z44" s="25" t="str">
        <f aca="false">IF(S44="Yes","Improve student attendance support",IF(T44="Yes","Accelerate course completion support",IF(U44="Yes","Increase faculty training/coaching",IF(V44="Yes","Target performance coaching",IF(W44="Yes","Rebalance teaching workload","Maintain current teaching plan")))))</f>
        <v>Accelerate course completion support</v>
      </c>
    </row>
    <row r="45" customFormat="false" ht="15" hidden="false" customHeight="false" outlineLevel="0" collapsed="false">
      <c r="A45" s="22" t="str">
        <f aca="false">Source_Data!A45</f>
        <v>F044</v>
      </c>
      <c r="B45" s="22" t="str">
        <f aca="false">Source_Data!B45</f>
        <v>Faculty_44</v>
      </c>
      <c r="C45" s="22" t="str">
        <f aca="false">Source_Data!E45</f>
        <v>Computer Science</v>
      </c>
      <c r="D45" s="22" t="str">
        <f aca="false">Source_Data!F45</f>
        <v>Lecturer</v>
      </c>
      <c r="E45" s="22" t="str">
        <f aca="false">Source_Data!G45</f>
        <v>Full-time</v>
      </c>
      <c r="F45" s="22" t="str">
        <f aca="false">Source_Data!K45</f>
        <v>Financial Management</v>
      </c>
      <c r="G45" s="23" t="n">
        <f aca="false">Source_Data!Z45</f>
        <v>45</v>
      </c>
      <c r="H45" s="24" t="n">
        <f aca="false">Source_Data!AV45</f>
        <v>3.17</v>
      </c>
      <c r="I45" s="23" t="n">
        <f aca="false">Source_Data!AW45</f>
        <v>99</v>
      </c>
      <c r="J45" s="23" t="n">
        <f aca="false">Source_Data!AX45</f>
        <v>70</v>
      </c>
      <c r="K45" s="24" t="n">
        <f aca="false">Source_Data!AY45</f>
        <v>3.33</v>
      </c>
      <c r="L45" s="24" t="n">
        <f aca="false">Source_Data!AZ45</f>
        <v>15</v>
      </c>
      <c r="M45" s="24" t="n">
        <f aca="false">Source_Data!AO45</f>
        <v>1</v>
      </c>
      <c r="N45" s="24" t="n">
        <f aca="false">Source_Data!AP45</f>
        <v>0</v>
      </c>
      <c r="O45" s="24" t="n">
        <f aca="false">Source_Data!AR45</f>
        <v>5</v>
      </c>
      <c r="P45" s="24" t="n">
        <f aca="false">Source_Data!AU45</f>
        <v>0</v>
      </c>
      <c r="Q45" s="25" t="str">
        <f aca="false">IF(H45&lt;Controls!$B$4,"Critical",IF(H45&lt;Controls!$B$5,"Needs Support",IF(H45&lt;Controls!$B$6,"Good","Excellent")))</f>
        <v>Critical</v>
      </c>
      <c r="R45" s="25" t="str">
        <f aca="false">IF(G45&gt;Controls!$B$7,"High",IF(G45&lt;Controls!$B$8,"Low","Balanced"))</f>
        <v>High</v>
      </c>
      <c r="S45" s="25" t="str">
        <f aca="false">IF(I45&lt;Controls!$B$9,"Yes","No")</f>
        <v>No</v>
      </c>
      <c r="T45" s="25" t="str">
        <f aca="false">IF(J45&lt;Controls!$B$10,"Yes","No")</f>
        <v>Yes</v>
      </c>
      <c r="U45" s="25" t="str">
        <f aca="false">IF(L45&lt;Controls!$B$11,"Yes","No")</f>
        <v>No</v>
      </c>
      <c r="V45" s="25" t="str">
        <f aca="false">IF(K45&lt;Controls!$B$12,"Yes","No")</f>
        <v>Yes</v>
      </c>
      <c r="W45" s="25" t="str">
        <f aca="false">IF(G45&gt;Controls!$B$7,"Yes","No")</f>
        <v>Yes</v>
      </c>
      <c r="X45" s="25" t="n">
        <f aca="false">COUNTIF(S45:W45,"Yes")</f>
        <v>3</v>
      </c>
      <c r="Y45" s="25" t="str">
        <f aca="false">IF(X45&gt;=3,"High",IF(X45=2,"Medium","Low"))</f>
        <v>High</v>
      </c>
      <c r="Z45" s="25" t="str">
        <f aca="false">IF(S45="Yes","Improve student attendance support",IF(T45="Yes","Accelerate course completion support",IF(U45="Yes","Increase faculty training/coaching",IF(V45="Yes","Target performance coaching",IF(W45="Yes","Rebalance teaching workload","Maintain current teaching plan")))))</f>
        <v>Accelerate course completion support</v>
      </c>
    </row>
    <row r="46" customFormat="false" ht="15" hidden="false" customHeight="false" outlineLevel="0" collapsed="false">
      <c r="A46" s="22" t="str">
        <f aca="false">Source_Data!A46</f>
        <v>F045</v>
      </c>
      <c r="B46" s="22" t="str">
        <f aca="false">Source_Data!B46</f>
        <v>Faculty_45</v>
      </c>
      <c r="C46" s="22" t="str">
        <f aca="false">Source_Data!E46</f>
        <v>Computer Science</v>
      </c>
      <c r="D46" s="22" t="str">
        <f aca="false">Source_Data!F46</f>
        <v>Assistant Professor</v>
      </c>
      <c r="E46" s="22" t="str">
        <f aca="false">Source_Data!G46</f>
        <v>Visiting</v>
      </c>
      <c r="F46" s="22" t="str">
        <f aca="false">Source_Data!K46</f>
        <v>Financial Management</v>
      </c>
      <c r="G46" s="23" t="n">
        <f aca="false">Source_Data!Z46</f>
        <v>35</v>
      </c>
      <c r="H46" s="24" t="n">
        <f aca="false">Source_Data!AV46</f>
        <v>3.13</v>
      </c>
      <c r="I46" s="23" t="n">
        <f aca="false">Source_Data!AW46</f>
        <v>63</v>
      </c>
      <c r="J46" s="23" t="n">
        <f aca="false">Source_Data!AX46</f>
        <v>96</v>
      </c>
      <c r="K46" s="24" t="n">
        <f aca="false">Source_Data!AY46</f>
        <v>3.96</v>
      </c>
      <c r="L46" s="24" t="n">
        <f aca="false">Source_Data!AZ46</f>
        <v>4</v>
      </c>
      <c r="M46" s="24" t="n">
        <f aca="false">Source_Data!AO46</f>
        <v>1</v>
      </c>
      <c r="N46" s="24" t="n">
        <f aca="false">Source_Data!AP46</f>
        <v>3</v>
      </c>
      <c r="O46" s="24" t="n">
        <f aca="false">Source_Data!AR46</f>
        <v>1</v>
      </c>
      <c r="P46" s="24" t="n">
        <f aca="false">Source_Data!AU46</f>
        <v>4</v>
      </c>
      <c r="Q46" s="25" t="str">
        <f aca="false">IF(H46&lt;Controls!$B$4,"Critical",IF(H46&lt;Controls!$B$5,"Needs Support",IF(H46&lt;Controls!$B$6,"Good","Excellent")))</f>
        <v>Critical</v>
      </c>
      <c r="R46" s="25" t="str">
        <f aca="false">IF(G46&gt;Controls!$B$7,"High",IF(G46&lt;Controls!$B$8,"Low","Balanced"))</f>
        <v>Balanced</v>
      </c>
      <c r="S46" s="25" t="str">
        <f aca="false">IF(I46&lt;Controls!$B$9,"Yes","No")</f>
        <v>Yes</v>
      </c>
      <c r="T46" s="25" t="str">
        <f aca="false">IF(J46&lt;Controls!$B$10,"Yes","No")</f>
        <v>No</v>
      </c>
      <c r="U46" s="25" t="str">
        <f aca="false">IF(L46&lt;Controls!$B$11,"Yes","No")</f>
        <v>Yes</v>
      </c>
      <c r="V46" s="25" t="str">
        <f aca="false">IF(K46&lt;Controls!$B$12,"Yes","No")</f>
        <v>Yes</v>
      </c>
      <c r="W46" s="25" t="str">
        <f aca="false">IF(G46&gt;Controls!$B$7,"Yes","No")</f>
        <v>No</v>
      </c>
      <c r="X46" s="25" t="n">
        <f aca="false">COUNTIF(S46:W46,"Yes")</f>
        <v>3</v>
      </c>
      <c r="Y46" s="25" t="str">
        <f aca="false">IF(X46&gt;=3,"High",IF(X46=2,"Medium","Low"))</f>
        <v>High</v>
      </c>
      <c r="Z46" s="25" t="str">
        <f aca="false">IF(S46="Yes","Improve student attendance support",IF(T46="Yes","Accelerate course completion support",IF(U46="Yes","Increase faculty training/coaching",IF(V46="Yes","Target performance coaching",IF(W46="Yes","Rebalance teaching workload","Maintain current teaching plan")))))</f>
        <v>Improve student attendance support</v>
      </c>
    </row>
    <row r="47" customFormat="false" ht="15" hidden="false" customHeight="false" outlineLevel="0" collapsed="false">
      <c r="A47" s="22" t="str">
        <f aca="false">Source_Data!A47</f>
        <v>F046</v>
      </c>
      <c r="B47" s="22" t="str">
        <f aca="false">Source_Data!B47</f>
        <v>Faculty_46</v>
      </c>
      <c r="C47" s="22" t="str">
        <f aca="false">Source_Data!E47</f>
        <v>Commerce</v>
      </c>
      <c r="D47" s="22" t="str">
        <f aca="false">Source_Data!F47</f>
        <v>Lecturer</v>
      </c>
      <c r="E47" s="22" t="str">
        <f aca="false">Source_Data!G47</f>
        <v>Visiting</v>
      </c>
      <c r="F47" s="22" t="str">
        <f aca="false">Source_Data!K47</f>
        <v>Business Statistics</v>
      </c>
      <c r="G47" s="23" t="n">
        <f aca="false">Source_Data!Z47</f>
        <v>30</v>
      </c>
      <c r="H47" s="24" t="n">
        <f aca="false">Source_Data!AV47</f>
        <v>3.63</v>
      </c>
      <c r="I47" s="23" t="n">
        <f aca="false">Source_Data!AW47</f>
        <v>73</v>
      </c>
      <c r="J47" s="23" t="n">
        <f aca="false">Source_Data!AX47</f>
        <v>95</v>
      </c>
      <c r="K47" s="24" t="n">
        <f aca="false">Source_Data!AY47</f>
        <v>4.19</v>
      </c>
      <c r="L47" s="24" t="n">
        <f aca="false">Source_Data!AZ47</f>
        <v>4</v>
      </c>
      <c r="M47" s="24" t="n">
        <f aca="false">Source_Data!AO47</f>
        <v>8</v>
      </c>
      <c r="N47" s="24" t="n">
        <f aca="false">Source_Data!AP47</f>
        <v>6</v>
      </c>
      <c r="O47" s="24" t="n">
        <f aca="false">Source_Data!AR47</f>
        <v>2</v>
      </c>
      <c r="P47" s="24" t="n">
        <f aca="false">Source_Data!AU47</f>
        <v>6</v>
      </c>
      <c r="Q47" s="25" t="str">
        <f aca="false">IF(H47&lt;Controls!$B$4,"Critical",IF(H47&lt;Controls!$B$5,"Needs Support",IF(H47&lt;Controls!$B$6,"Good","Excellent")))</f>
        <v>Needs Support</v>
      </c>
      <c r="R47" s="25" t="str">
        <f aca="false">IF(G47&gt;Controls!$B$7,"High",IF(G47&lt;Controls!$B$8,"Low","Balanced"))</f>
        <v>Balanced</v>
      </c>
      <c r="S47" s="25" t="str">
        <f aca="false">IF(I47&lt;Controls!$B$9,"Yes","No")</f>
        <v>Yes</v>
      </c>
      <c r="T47" s="25" t="str">
        <f aca="false">IF(J47&lt;Controls!$B$10,"Yes","No")</f>
        <v>No</v>
      </c>
      <c r="U47" s="25" t="str">
        <f aca="false">IF(L47&lt;Controls!$B$11,"Yes","No")</f>
        <v>Yes</v>
      </c>
      <c r="V47" s="25" t="str">
        <f aca="false">IF(K47&lt;Controls!$B$12,"Yes","No")</f>
        <v>No</v>
      </c>
      <c r="W47" s="25" t="str">
        <f aca="false">IF(G47&gt;Controls!$B$7,"Yes","No")</f>
        <v>No</v>
      </c>
      <c r="X47" s="25" t="n">
        <f aca="false">COUNTIF(S47:W47,"Yes")</f>
        <v>2</v>
      </c>
      <c r="Y47" s="25" t="str">
        <f aca="false">IF(X47&gt;=3,"High",IF(X47=2,"Medium","Low"))</f>
        <v>Medium</v>
      </c>
      <c r="Z47" s="25" t="str">
        <f aca="false">IF(S47="Yes","Improve student attendance support",IF(T47="Yes","Accelerate course completion support",IF(U47="Yes","Increase faculty training/coaching",IF(V47="Yes","Target performance coaching",IF(W47="Yes","Rebalance teaching workload","Maintain current teaching plan")))))</f>
        <v>Improve student attendance support</v>
      </c>
    </row>
    <row r="48" customFormat="false" ht="15" hidden="false" customHeight="false" outlineLevel="0" collapsed="false">
      <c r="A48" s="22" t="str">
        <f aca="false">Source_Data!A48</f>
        <v>F047</v>
      </c>
      <c r="B48" s="22" t="str">
        <f aca="false">Source_Data!B48</f>
        <v>Faculty_47</v>
      </c>
      <c r="C48" s="22" t="str">
        <f aca="false">Source_Data!E48</f>
        <v>Management</v>
      </c>
      <c r="D48" s="22" t="str">
        <f aca="false">Source_Data!F48</f>
        <v>Lecturer</v>
      </c>
      <c r="E48" s="22" t="str">
        <f aca="false">Source_Data!G48</f>
        <v>Visiting</v>
      </c>
      <c r="F48" s="22" t="str">
        <f aca="false">Source_Data!K48</f>
        <v>Financial Management</v>
      </c>
      <c r="G48" s="23" t="n">
        <f aca="false">Source_Data!Z48</f>
        <v>40</v>
      </c>
      <c r="H48" s="24" t="n">
        <f aca="false">Source_Data!AV48</f>
        <v>4.3</v>
      </c>
      <c r="I48" s="23" t="n">
        <f aca="false">Source_Data!AW48</f>
        <v>80</v>
      </c>
      <c r="J48" s="23" t="n">
        <f aca="false">Source_Data!AX48</f>
        <v>91</v>
      </c>
      <c r="K48" s="24" t="n">
        <f aca="false">Source_Data!AY48</f>
        <v>4.42</v>
      </c>
      <c r="L48" s="24" t="n">
        <f aca="false">Source_Data!AZ48</f>
        <v>9</v>
      </c>
      <c r="M48" s="24" t="n">
        <f aca="false">Source_Data!AO48</f>
        <v>1</v>
      </c>
      <c r="N48" s="24" t="n">
        <f aca="false">Source_Data!AP48</f>
        <v>1</v>
      </c>
      <c r="O48" s="24" t="n">
        <f aca="false">Source_Data!AR48</f>
        <v>2</v>
      </c>
      <c r="P48" s="24" t="n">
        <f aca="false">Source_Data!AU48</f>
        <v>6</v>
      </c>
      <c r="Q48" s="25" t="str">
        <f aca="false">IF(H48&lt;Controls!$B$4,"Critical",IF(H48&lt;Controls!$B$5,"Needs Support",IF(H48&lt;Controls!$B$6,"Good","Excellent")))</f>
        <v>Good</v>
      </c>
      <c r="R48" s="25" t="str">
        <f aca="false">IF(G48&gt;Controls!$B$7,"High",IF(G48&lt;Controls!$B$8,"Low","Balanced"))</f>
        <v>Balanced</v>
      </c>
      <c r="S48" s="25" t="str">
        <f aca="false">IF(I48&lt;Controls!$B$9,"Yes","No")</f>
        <v>No</v>
      </c>
      <c r="T48" s="25" t="str">
        <f aca="false">IF(J48&lt;Controls!$B$10,"Yes","No")</f>
        <v>No</v>
      </c>
      <c r="U48" s="25" t="str">
        <f aca="false">IF(L48&lt;Controls!$B$11,"Yes","No")</f>
        <v>No</v>
      </c>
      <c r="V48" s="25" t="str">
        <f aca="false">IF(K48&lt;Controls!$B$12,"Yes","No")</f>
        <v>No</v>
      </c>
      <c r="W48" s="25" t="str">
        <f aca="false">IF(G48&gt;Controls!$B$7,"Yes","No")</f>
        <v>No</v>
      </c>
      <c r="X48" s="25" t="n">
        <f aca="false">COUNTIF(S48:W48,"Yes")</f>
        <v>0</v>
      </c>
      <c r="Y48" s="25" t="str">
        <f aca="false">IF(X48&gt;=3,"High",IF(X48=2,"Medium","Low"))</f>
        <v>Low</v>
      </c>
      <c r="Z48" s="25" t="str">
        <f aca="false">IF(S48="Yes","Improve student attendance support",IF(T48="Yes","Accelerate course completion support",IF(U48="Yes","Increase faculty training/coaching",IF(V48="Yes","Target performance coaching",IF(W48="Yes","Rebalance teaching workload","Maintain current teaching plan")))))</f>
        <v>Maintain current teaching plan</v>
      </c>
    </row>
    <row r="49" customFormat="false" ht="15" hidden="false" customHeight="false" outlineLevel="0" collapsed="false">
      <c r="A49" s="22" t="str">
        <f aca="false">Source_Data!A49</f>
        <v>F048</v>
      </c>
      <c r="B49" s="22" t="str">
        <f aca="false">Source_Data!B49</f>
        <v>Faculty_48</v>
      </c>
      <c r="C49" s="22" t="str">
        <f aca="false">Source_Data!E49</f>
        <v>Computer Science</v>
      </c>
      <c r="D49" s="22" t="str">
        <f aca="false">Source_Data!F49</f>
        <v>Professor</v>
      </c>
      <c r="E49" s="22" t="str">
        <f aca="false">Source_Data!G49</f>
        <v>Full-time</v>
      </c>
      <c r="F49" s="22" t="str">
        <f aca="false">Source_Data!K49</f>
        <v>Data Analytics</v>
      </c>
      <c r="G49" s="23" t="n">
        <f aca="false">Source_Data!Z49</f>
        <v>35</v>
      </c>
      <c r="H49" s="24" t="n">
        <f aca="false">Source_Data!AV49</f>
        <v>3.23</v>
      </c>
      <c r="I49" s="23" t="n">
        <f aca="false">Source_Data!AW49</f>
        <v>66</v>
      </c>
      <c r="J49" s="23" t="n">
        <f aca="false">Source_Data!AX49</f>
        <v>73</v>
      </c>
      <c r="K49" s="24" t="n">
        <f aca="false">Source_Data!AY49</f>
        <v>3.44</v>
      </c>
      <c r="L49" s="24" t="n">
        <f aca="false">Source_Data!AZ49</f>
        <v>2</v>
      </c>
      <c r="M49" s="24" t="n">
        <f aca="false">Source_Data!AO49</f>
        <v>2</v>
      </c>
      <c r="N49" s="24" t="n">
        <f aca="false">Source_Data!AP49</f>
        <v>3</v>
      </c>
      <c r="O49" s="24" t="n">
        <f aca="false">Source_Data!AR49</f>
        <v>2</v>
      </c>
      <c r="P49" s="24" t="n">
        <f aca="false">Source_Data!AU49</f>
        <v>0</v>
      </c>
      <c r="Q49" s="25" t="str">
        <f aca="false">IF(H49&lt;Controls!$B$4,"Critical",IF(H49&lt;Controls!$B$5,"Needs Support",IF(H49&lt;Controls!$B$6,"Good","Excellent")))</f>
        <v>Critical</v>
      </c>
      <c r="R49" s="25" t="str">
        <f aca="false">IF(G49&gt;Controls!$B$7,"High",IF(G49&lt;Controls!$B$8,"Low","Balanced"))</f>
        <v>Balanced</v>
      </c>
      <c r="S49" s="25" t="str">
        <f aca="false">IF(I49&lt;Controls!$B$9,"Yes","No")</f>
        <v>Yes</v>
      </c>
      <c r="T49" s="25" t="str">
        <f aca="false">IF(J49&lt;Controls!$B$10,"Yes","No")</f>
        <v>Yes</v>
      </c>
      <c r="U49" s="25" t="str">
        <f aca="false">IF(L49&lt;Controls!$B$11,"Yes","No")</f>
        <v>Yes</v>
      </c>
      <c r="V49" s="25" t="str">
        <f aca="false">IF(K49&lt;Controls!$B$12,"Yes","No")</f>
        <v>Yes</v>
      </c>
      <c r="W49" s="25" t="str">
        <f aca="false">IF(G49&gt;Controls!$B$7,"Yes","No")</f>
        <v>No</v>
      </c>
      <c r="X49" s="25" t="n">
        <f aca="false">COUNTIF(S49:W49,"Yes")</f>
        <v>4</v>
      </c>
      <c r="Y49" s="25" t="str">
        <f aca="false">IF(X49&gt;=3,"High",IF(X49=2,"Medium","Low"))</f>
        <v>High</v>
      </c>
      <c r="Z49" s="25" t="str">
        <f aca="false">IF(S49="Yes","Improve student attendance support",IF(T49="Yes","Accelerate course completion support",IF(U49="Yes","Increase faculty training/coaching",IF(V49="Yes","Target performance coaching",IF(W49="Yes","Rebalance teaching workload","Maintain current teaching plan")))))</f>
        <v>Improve student attendance support</v>
      </c>
    </row>
    <row r="50" customFormat="false" ht="15" hidden="false" customHeight="false" outlineLevel="0" collapsed="false">
      <c r="A50" s="22" t="str">
        <f aca="false">Source_Data!A50</f>
        <v>F049</v>
      </c>
      <c r="B50" s="22" t="str">
        <f aca="false">Source_Data!B50</f>
        <v>Faculty_49</v>
      </c>
      <c r="C50" s="22" t="str">
        <f aca="false">Source_Data!E50</f>
        <v>Commerce</v>
      </c>
      <c r="D50" s="22" t="str">
        <f aca="false">Source_Data!F50</f>
        <v>Assistant Professor</v>
      </c>
      <c r="E50" s="22" t="str">
        <f aca="false">Source_Data!G50</f>
        <v>Part-time</v>
      </c>
      <c r="F50" s="22" t="str">
        <f aca="false">Source_Data!K50</f>
        <v>Financial Management</v>
      </c>
      <c r="G50" s="23" t="n">
        <f aca="false">Source_Data!Z50</f>
        <v>50</v>
      </c>
      <c r="H50" s="24" t="n">
        <f aca="false">Source_Data!AV50</f>
        <v>3.28</v>
      </c>
      <c r="I50" s="23" t="n">
        <f aca="false">Source_Data!AW50</f>
        <v>68</v>
      </c>
      <c r="J50" s="23" t="n">
        <f aca="false">Source_Data!AX50</f>
        <v>72</v>
      </c>
      <c r="K50" s="24" t="n">
        <f aca="false">Source_Data!AY50</f>
        <v>3.44</v>
      </c>
      <c r="L50" s="24" t="n">
        <f aca="false">Source_Data!AZ50</f>
        <v>1</v>
      </c>
      <c r="M50" s="24" t="n">
        <f aca="false">Source_Data!AO50</f>
        <v>4</v>
      </c>
      <c r="N50" s="24" t="n">
        <f aca="false">Source_Data!AP50</f>
        <v>7</v>
      </c>
      <c r="O50" s="24" t="n">
        <f aca="false">Source_Data!AR50</f>
        <v>3</v>
      </c>
      <c r="P50" s="24" t="n">
        <f aca="false">Source_Data!AU50</f>
        <v>1</v>
      </c>
      <c r="Q50" s="25" t="str">
        <f aca="false">IF(H50&lt;Controls!$B$4,"Critical",IF(H50&lt;Controls!$B$5,"Needs Support",IF(H50&lt;Controls!$B$6,"Good","Excellent")))</f>
        <v>Critical</v>
      </c>
      <c r="R50" s="25" t="str">
        <f aca="false">IF(G50&gt;Controls!$B$7,"High",IF(G50&lt;Controls!$B$8,"Low","Balanced"))</f>
        <v>High</v>
      </c>
      <c r="S50" s="25" t="str">
        <f aca="false">IF(I50&lt;Controls!$B$9,"Yes","No")</f>
        <v>Yes</v>
      </c>
      <c r="T50" s="25" t="str">
        <f aca="false">IF(J50&lt;Controls!$B$10,"Yes","No")</f>
        <v>Yes</v>
      </c>
      <c r="U50" s="25" t="str">
        <f aca="false">IF(L50&lt;Controls!$B$11,"Yes","No")</f>
        <v>Yes</v>
      </c>
      <c r="V50" s="25" t="str">
        <f aca="false">IF(K50&lt;Controls!$B$12,"Yes","No")</f>
        <v>Yes</v>
      </c>
      <c r="W50" s="25" t="str">
        <f aca="false">IF(G50&gt;Controls!$B$7,"Yes","No")</f>
        <v>Yes</v>
      </c>
      <c r="X50" s="25" t="n">
        <f aca="false">COUNTIF(S50:W50,"Yes")</f>
        <v>5</v>
      </c>
      <c r="Y50" s="25" t="str">
        <f aca="false">IF(X50&gt;=3,"High",IF(X50=2,"Medium","Low"))</f>
        <v>High</v>
      </c>
      <c r="Z50" s="25" t="str">
        <f aca="false">IF(S50="Yes","Improve student attendance support",IF(T50="Yes","Accelerate course completion support",IF(U50="Yes","Increase faculty training/coaching",IF(V50="Yes","Target performance coaching",IF(W50="Yes","Rebalance teaching workload","Maintain current teaching plan")))))</f>
        <v>Improve student attendance support</v>
      </c>
    </row>
    <row r="51" customFormat="false" ht="15" hidden="false" customHeight="false" outlineLevel="0" collapsed="false">
      <c r="A51" s="22" t="str">
        <f aca="false">Source_Data!A51</f>
        <v>F050</v>
      </c>
      <c r="B51" s="22" t="str">
        <f aca="false">Source_Data!B51</f>
        <v>Faculty_50</v>
      </c>
      <c r="C51" s="22" t="str">
        <f aca="false">Source_Data!E51</f>
        <v>Mathematics</v>
      </c>
      <c r="D51" s="22" t="str">
        <f aca="false">Source_Data!F51</f>
        <v>Lecturer</v>
      </c>
      <c r="E51" s="22" t="str">
        <f aca="false">Source_Data!G51</f>
        <v>Visiting</v>
      </c>
      <c r="F51" s="22" t="str">
        <f aca="false">Source_Data!K51</f>
        <v>Data Analytics</v>
      </c>
      <c r="G51" s="23" t="n">
        <f aca="false">Source_Data!Z51</f>
        <v>20</v>
      </c>
      <c r="H51" s="24" t="n">
        <f aca="false">Source_Data!AV51</f>
        <v>3.98</v>
      </c>
      <c r="I51" s="23" t="n">
        <f aca="false">Source_Data!AW51</f>
        <v>77</v>
      </c>
      <c r="J51" s="23" t="n">
        <f aca="false">Source_Data!AX51</f>
        <v>85</v>
      </c>
      <c r="K51" s="24" t="n">
        <f aca="false">Source_Data!AY51</f>
        <v>4.12</v>
      </c>
      <c r="L51" s="24" t="n">
        <f aca="false">Source_Data!AZ51</f>
        <v>0</v>
      </c>
      <c r="M51" s="24" t="n">
        <f aca="false">Source_Data!AO51</f>
        <v>10</v>
      </c>
      <c r="N51" s="24" t="n">
        <f aca="false">Source_Data!AP51</f>
        <v>3</v>
      </c>
      <c r="O51" s="24" t="n">
        <f aca="false">Source_Data!AR51</f>
        <v>0</v>
      </c>
      <c r="P51" s="24" t="n">
        <f aca="false">Source_Data!AU51</f>
        <v>4</v>
      </c>
      <c r="Q51" s="25" t="str">
        <f aca="false">IF(H51&lt;Controls!$B$4,"Critical",IF(H51&lt;Controls!$B$5,"Needs Support",IF(H51&lt;Controls!$B$6,"Good","Excellent")))</f>
        <v>Needs Support</v>
      </c>
      <c r="R51" s="25" t="str">
        <f aca="false">IF(G51&gt;Controls!$B$7,"High",IF(G51&lt;Controls!$B$8,"Low","Balanced"))</f>
        <v>Low</v>
      </c>
      <c r="S51" s="25" t="str">
        <f aca="false">IF(I51&lt;Controls!$B$9,"Yes","No")</f>
        <v>No</v>
      </c>
      <c r="T51" s="25" t="str">
        <f aca="false">IF(J51&lt;Controls!$B$10,"Yes","No")</f>
        <v>No</v>
      </c>
      <c r="U51" s="25" t="str">
        <f aca="false">IF(L51&lt;Controls!$B$11,"Yes","No")</f>
        <v>Yes</v>
      </c>
      <c r="V51" s="25" t="str">
        <f aca="false">IF(K51&lt;Controls!$B$12,"Yes","No")</f>
        <v>No</v>
      </c>
      <c r="W51" s="25" t="str">
        <f aca="false">IF(G51&gt;Controls!$B$7,"Yes","No")</f>
        <v>No</v>
      </c>
      <c r="X51" s="25" t="n">
        <f aca="false">COUNTIF(S51:W51,"Yes")</f>
        <v>1</v>
      </c>
      <c r="Y51" s="25" t="str">
        <f aca="false">IF(X51&gt;=3,"High",IF(X51=2,"Medium","Low"))</f>
        <v>Low</v>
      </c>
      <c r="Z51" s="25" t="str">
        <f aca="false">IF(S51="Yes","Improve student attendance support",IF(T51="Yes","Accelerate course completion support",IF(U51="Yes","Increase faculty training/coaching",IF(V51="Yes","Target performance coaching",IF(W51="Yes","Rebalance teaching workload","Maintain current teaching plan")))))</f>
        <v>Increase faculty training/coaching</v>
      </c>
    </row>
    <row r="52" customFormat="false" ht="15" hidden="false" customHeight="false" outlineLevel="0" collapsed="false">
      <c r="A52" s="22" t="str">
        <f aca="false">Source_Data!A52</f>
        <v>F051</v>
      </c>
      <c r="B52" s="22" t="str">
        <f aca="false">Source_Data!B52</f>
        <v>Faculty_51</v>
      </c>
      <c r="C52" s="22" t="str">
        <f aca="false">Source_Data!E52</f>
        <v>Management</v>
      </c>
      <c r="D52" s="22" t="str">
        <f aca="false">Source_Data!F52</f>
        <v>Assistant Professor</v>
      </c>
      <c r="E52" s="22" t="str">
        <f aca="false">Source_Data!G52</f>
        <v>Visiting</v>
      </c>
      <c r="F52" s="22" t="str">
        <f aca="false">Source_Data!K52</f>
        <v>Marketing</v>
      </c>
      <c r="G52" s="23" t="n">
        <f aca="false">Source_Data!Z52</f>
        <v>45</v>
      </c>
      <c r="H52" s="24" t="n">
        <f aca="false">Source_Data!AV52</f>
        <v>3.31</v>
      </c>
      <c r="I52" s="23" t="n">
        <f aca="false">Source_Data!AW52</f>
        <v>68</v>
      </c>
      <c r="J52" s="23" t="n">
        <f aca="false">Source_Data!AX52</f>
        <v>86</v>
      </c>
      <c r="K52" s="24" t="n">
        <f aca="false">Source_Data!AY52</f>
        <v>3.8</v>
      </c>
      <c r="L52" s="24" t="n">
        <f aca="false">Source_Data!AZ52</f>
        <v>19</v>
      </c>
      <c r="M52" s="24" t="n">
        <f aca="false">Source_Data!AO52</f>
        <v>3</v>
      </c>
      <c r="N52" s="24" t="n">
        <f aca="false">Source_Data!AP52</f>
        <v>2</v>
      </c>
      <c r="O52" s="24" t="n">
        <f aca="false">Source_Data!AR52</f>
        <v>2</v>
      </c>
      <c r="P52" s="24" t="n">
        <f aca="false">Source_Data!AU52</f>
        <v>0</v>
      </c>
      <c r="Q52" s="25" t="str">
        <f aca="false">IF(H52&lt;Controls!$B$4,"Critical",IF(H52&lt;Controls!$B$5,"Needs Support",IF(H52&lt;Controls!$B$6,"Good","Excellent")))</f>
        <v>Critical</v>
      </c>
      <c r="R52" s="25" t="str">
        <f aca="false">IF(G52&gt;Controls!$B$7,"High",IF(G52&lt;Controls!$B$8,"Low","Balanced"))</f>
        <v>High</v>
      </c>
      <c r="S52" s="25" t="str">
        <f aca="false">IF(I52&lt;Controls!$B$9,"Yes","No")</f>
        <v>Yes</v>
      </c>
      <c r="T52" s="25" t="str">
        <f aca="false">IF(J52&lt;Controls!$B$10,"Yes","No")</f>
        <v>No</v>
      </c>
      <c r="U52" s="25" t="str">
        <f aca="false">IF(L52&lt;Controls!$B$11,"Yes","No")</f>
        <v>No</v>
      </c>
      <c r="V52" s="25" t="str">
        <f aca="false">IF(K52&lt;Controls!$B$12,"Yes","No")</f>
        <v>Yes</v>
      </c>
      <c r="W52" s="25" t="str">
        <f aca="false">IF(G52&gt;Controls!$B$7,"Yes","No")</f>
        <v>Yes</v>
      </c>
      <c r="X52" s="25" t="n">
        <f aca="false">COUNTIF(S52:W52,"Yes")</f>
        <v>3</v>
      </c>
      <c r="Y52" s="25" t="str">
        <f aca="false">IF(X52&gt;=3,"High",IF(X52=2,"Medium","Low"))</f>
        <v>High</v>
      </c>
      <c r="Z52" s="25" t="str">
        <f aca="false">IF(S52="Yes","Improve student attendance support",IF(T52="Yes","Accelerate course completion support",IF(U52="Yes","Increase faculty training/coaching",IF(V52="Yes","Target performance coaching",IF(W52="Yes","Rebalance teaching workload","Maintain current teaching plan")))))</f>
        <v>Improve student attendance support</v>
      </c>
    </row>
    <row r="53" customFormat="false" ht="15" hidden="false" customHeight="false" outlineLevel="0" collapsed="false">
      <c r="A53" s="22" t="str">
        <f aca="false">Source_Data!A53</f>
        <v>F052</v>
      </c>
      <c r="B53" s="22" t="str">
        <f aca="false">Source_Data!B53</f>
        <v>Faculty_52</v>
      </c>
      <c r="C53" s="22" t="str">
        <f aca="false">Source_Data!E53</f>
        <v>Commerce</v>
      </c>
      <c r="D53" s="22" t="str">
        <f aca="false">Source_Data!F53</f>
        <v>Professor</v>
      </c>
      <c r="E53" s="22" t="str">
        <f aca="false">Source_Data!G53</f>
        <v>Full-time</v>
      </c>
      <c r="F53" s="22" t="str">
        <f aca="false">Source_Data!K53</f>
        <v>Marketing</v>
      </c>
      <c r="G53" s="23" t="n">
        <f aca="false">Source_Data!Z53</f>
        <v>35</v>
      </c>
      <c r="H53" s="24" t="n">
        <f aca="false">Source_Data!AV53</f>
        <v>3.75</v>
      </c>
      <c r="I53" s="23" t="n">
        <f aca="false">Source_Data!AW53</f>
        <v>95</v>
      </c>
      <c r="J53" s="23" t="n">
        <f aca="false">Source_Data!AX53</f>
        <v>72</v>
      </c>
      <c r="K53" s="24" t="n">
        <f aca="false">Source_Data!AY53</f>
        <v>3.67</v>
      </c>
      <c r="L53" s="24" t="n">
        <f aca="false">Source_Data!AZ53</f>
        <v>1</v>
      </c>
      <c r="M53" s="24" t="n">
        <f aca="false">Source_Data!AO53</f>
        <v>6</v>
      </c>
      <c r="N53" s="24" t="n">
        <f aca="false">Source_Data!AP53</f>
        <v>3</v>
      </c>
      <c r="O53" s="24" t="n">
        <f aca="false">Source_Data!AR53</f>
        <v>0</v>
      </c>
      <c r="P53" s="24" t="n">
        <f aca="false">Source_Data!AU53</f>
        <v>6</v>
      </c>
      <c r="Q53" s="25" t="str">
        <f aca="false">IF(H53&lt;Controls!$B$4,"Critical",IF(H53&lt;Controls!$B$5,"Needs Support",IF(H53&lt;Controls!$B$6,"Good","Excellent")))</f>
        <v>Needs Support</v>
      </c>
      <c r="R53" s="25" t="str">
        <f aca="false">IF(G53&gt;Controls!$B$7,"High",IF(G53&lt;Controls!$B$8,"Low","Balanced"))</f>
        <v>Balanced</v>
      </c>
      <c r="S53" s="25" t="str">
        <f aca="false">IF(I53&lt;Controls!$B$9,"Yes","No")</f>
        <v>No</v>
      </c>
      <c r="T53" s="25" t="str">
        <f aca="false">IF(J53&lt;Controls!$B$10,"Yes","No")</f>
        <v>Yes</v>
      </c>
      <c r="U53" s="25" t="str">
        <f aca="false">IF(L53&lt;Controls!$B$11,"Yes","No")</f>
        <v>Yes</v>
      </c>
      <c r="V53" s="25" t="str">
        <f aca="false">IF(K53&lt;Controls!$B$12,"Yes","No")</f>
        <v>Yes</v>
      </c>
      <c r="W53" s="25" t="str">
        <f aca="false">IF(G53&gt;Controls!$B$7,"Yes","No")</f>
        <v>No</v>
      </c>
      <c r="X53" s="25" t="n">
        <f aca="false">COUNTIF(S53:W53,"Yes")</f>
        <v>3</v>
      </c>
      <c r="Y53" s="25" t="str">
        <f aca="false">IF(X53&gt;=3,"High",IF(X53=2,"Medium","Low"))</f>
        <v>High</v>
      </c>
      <c r="Z53" s="25" t="str">
        <f aca="false">IF(S53="Yes","Improve student attendance support",IF(T53="Yes","Accelerate course completion support",IF(U53="Yes","Increase faculty training/coaching",IF(V53="Yes","Target performance coaching",IF(W53="Yes","Rebalance teaching workload","Maintain current teaching plan")))))</f>
        <v>Accelerate course completion support</v>
      </c>
    </row>
    <row r="54" customFormat="false" ht="15" hidden="false" customHeight="false" outlineLevel="0" collapsed="false">
      <c r="A54" s="22" t="str">
        <f aca="false">Source_Data!A54</f>
        <v>F053</v>
      </c>
      <c r="B54" s="22" t="str">
        <f aca="false">Source_Data!B54</f>
        <v>Faculty_53</v>
      </c>
      <c r="C54" s="22" t="str">
        <f aca="false">Source_Data!E54</f>
        <v>Management</v>
      </c>
      <c r="D54" s="22" t="str">
        <f aca="false">Source_Data!F54</f>
        <v>Lecturer</v>
      </c>
      <c r="E54" s="22" t="str">
        <f aca="false">Source_Data!G54</f>
        <v>Visiting</v>
      </c>
      <c r="F54" s="22" t="str">
        <f aca="false">Source_Data!K54</f>
        <v>Marketing</v>
      </c>
      <c r="G54" s="23" t="n">
        <f aca="false">Source_Data!Z54</f>
        <v>45</v>
      </c>
      <c r="H54" s="24" t="n">
        <f aca="false">Source_Data!AV54</f>
        <v>4.49</v>
      </c>
      <c r="I54" s="23" t="n">
        <f aca="false">Source_Data!AW54</f>
        <v>84</v>
      </c>
      <c r="J54" s="23" t="n">
        <f aca="false">Source_Data!AX54</f>
        <v>90</v>
      </c>
      <c r="K54" s="24" t="n">
        <f aca="false">Source_Data!AY54</f>
        <v>4.5</v>
      </c>
      <c r="L54" s="24" t="n">
        <f aca="false">Source_Data!AZ54</f>
        <v>14</v>
      </c>
      <c r="M54" s="24" t="n">
        <f aca="false">Source_Data!AO54</f>
        <v>7</v>
      </c>
      <c r="N54" s="24" t="n">
        <f aca="false">Source_Data!AP54</f>
        <v>3</v>
      </c>
      <c r="O54" s="24" t="n">
        <f aca="false">Source_Data!AR54</f>
        <v>5</v>
      </c>
      <c r="P54" s="24" t="n">
        <f aca="false">Source_Data!AU54</f>
        <v>6</v>
      </c>
      <c r="Q54" s="25" t="str">
        <f aca="false">IF(H54&lt;Controls!$B$4,"Critical",IF(H54&lt;Controls!$B$5,"Needs Support",IF(H54&lt;Controls!$B$6,"Good","Excellent")))</f>
        <v>Good</v>
      </c>
      <c r="R54" s="25" t="str">
        <f aca="false">IF(G54&gt;Controls!$B$7,"High",IF(G54&lt;Controls!$B$8,"Low","Balanced"))</f>
        <v>High</v>
      </c>
      <c r="S54" s="25" t="str">
        <f aca="false">IF(I54&lt;Controls!$B$9,"Yes","No")</f>
        <v>No</v>
      </c>
      <c r="T54" s="25" t="str">
        <f aca="false">IF(J54&lt;Controls!$B$10,"Yes","No")</f>
        <v>No</v>
      </c>
      <c r="U54" s="25" t="str">
        <f aca="false">IF(L54&lt;Controls!$B$11,"Yes","No")</f>
        <v>No</v>
      </c>
      <c r="V54" s="25" t="str">
        <f aca="false">IF(K54&lt;Controls!$B$12,"Yes","No")</f>
        <v>No</v>
      </c>
      <c r="W54" s="25" t="str">
        <f aca="false">IF(G54&gt;Controls!$B$7,"Yes","No")</f>
        <v>Yes</v>
      </c>
      <c r="X54" s="25" t="n">
        <f aca="false">COUNTIF(S54:W54,"Yes")</f>
        <v>1</v>
      </c>
      <c r="Y54" s="25" t="str">
        <f aca="false">IF(X54&gt;=3,"High",IF(X54=2,"Medium","Low"))</f>
        <v>Low</v>
      </c>
      <c r="Z54" s="25" t="str">
        <f aca="false">IF(S54="Yes","Improve student attendance support",IF(T54="Yes","Accelerate course completion support",IF(U54="Yes","Increase faculty training/coaching",IF(V54="Yes","Target performance coaching",IF(W54="Yes","Rebalance teaching workload","Maintain current teaching plan")))))</f>
        <v>Rebalance teaching workload</v>
      </c>
    </row>
    <row r="55" customFormat="false" ht="15" hidden="false" customHeight="false" outlineLevel="0" collapsed="false">
      <c r="A55" s="22" t="str">
        <f aca="false">Source_Data!A55</f>
        <v>F054</v>
      </c>
      <c r="B55" s="22" t="str">
        <f aca="false">Source_Data!B55</f>
        <v>Faculty_54</v>
      </c>
      <c r="C55" s="22" t="str">
        <f aca="false">Source_Data!E55</f>
        <v>Management</v>
      </c>
      <c r="D55" s="22" t="str">
        <f aca="false">Source_Data!F55</f>
        <v>Assistant Professor</v>
      </c>
      <c r="E55" s="22" t="str">
        <f aca="false">Source_Data!G55</f>
        <v>Part-time</v>
      </c>
      <c r="F55" s="22" t="str">
        <f aca="false">Source_Data!K55</f>
        <v>Data Analytics</v>
      </c>
      <c r="G55" s="23" t="n">
        <f aca="false">Source_Data!Z55</f>
        <v>25</v>
      </c>
      <c r="H55" s="24" t="n">
        <f aca="false">Source_Data!AV55</f>
        <v>4.68</v>
      </c>
      <c r="I55" s="23" t="n">
        <f aca="false">Source_Data!AW55</f>
        <v>63</v>
      </c>
      <c r="J55" s="23" t="n">
        <f aca="false">Source_Data!AX55</f>
        <v>100</v>
      </c>
      <c r="K55" s="24" t="n">
        <f aca="false">Source_Data!AY55</f>
        <v>4.84</v>
      </c>
      <c r="L55" s="24" t="n">
        <f aca="false">Source_Data!AZ55</f>
        <v>20</v>
      </c>
      <c r="M55" s="24" t="n">
        <f aca="false">Source_Data!AO55</f>
        <v>1</v>
      </c>
      <c r="N55" s="24" t="n">
        <f aca="false">Source_Data!AP55</f>
        <v>0</v>
      </c>
      <c r="O55" s="24" t="n">
        <f aca="false">Source_Data!AR55</f>
        <v>1</v>
      </c>
      <c r="P55" s="24" t="n">
        <f aca="false">Source_Data!AU55</f>
        <v>2</v>
      </c>
      <c r="Q55" s="25" t="str">
        <f aca="false">IF(H55&lt;Controls!$B$4,"Critical",IF(H55&lt;Controls!$B$5,"Needs Support",IF(H55&lt;Controls!$B$6,"Good","Excellent")))</f>
        <v>Excellent</v>
      </c>
      <c r="R55" s="25" t="str">
        <f aca="false">IF(G55&gt;Controls!$B$7,"High",IF(G55&lt;Controls!$B$8,"Low","Balanced"))</f>
        <v>Balanced</v>
      </c>
      <c r="S55" s="25" t="str">
        <f aca="false">IF(I55&lt;Controls!$B$9,"Yes","No")</f>
        <v>Yes</v>
      </c>
      <c r="T55" s="25" t="str">
        <f aca="false">IF(J55&lt;Controls!$B$10,"Yes","No")</f>
        <v>No</v>
      </c>
      <c r="U55" s="25" t="str">
        <f aca="false">IF(L55&lt;Controls!$B$11,"Yes","No")</f>
        <v>No</v>
      </c>
      <c r="V55" s="25" t="str">
        <f aca="false">IF(K55&lt;Controls!$B$12,"Yes","No")</f>
        <v>No</v>
      </c>
      <c r="W55" s="25" t="str">
        <f aca="false">IF(G55&gt;Controls!$B$7,"Yes","No")</f>
        <v>No</v>
      </c>
      <c r="X55" s="25" t="n">
        <f aca="false">COUNTIF(S55:W55,"Yes")</f>
        <v>1</v>
      </c>
      <c r="Y55" s="25" t="str">
        <f aca="false">IF(X55&gt;=3,"High",IF(X55=2,"Medium","Low"))</f>
        <v>Low</v>
      </c>
      <c r="Z55" s="25" t="str">
        <f aca="false">IF(S55="Yes","Improve student attendance support",IF(T55="Yes","Accelerate course completion support",IF(U55="Yes","Increase faculty training/coaching",IF(V55="Yes","Target performance coaching",IF(W55="Yes","Rebalance teaching workload","Maintain current teaching plan")))))</f>
        <v>Improve student attendance support</v>
      </c>
    </row>
    <row r="56" customFormat="false" ht="15" hidden="false" customHeight="false" outlineLevel="0" collapsed="false">
      <c r="A56" s="22" t="str">
        <f aca="false">Source_Data!A56</f>
        <v>F055</v>
      </c>
      <c r="B56" s="22" t="str">
        <f aca="false">Source_Data!B56</f>
        <v>Faculty_55</v>
      </c>
      <c r="C56" s="22" t="str">
        <f aca="false">Source_Data!E56</f>
        <v>Mathematics</v>
      </c>
      <c r="D56" s="22" t="str">
        <f aca="false">Source_Data!F56</f>
        <v>Professor</v>
      </c>
      <c r="E56" s="22" t="str">
        <f aca="false">Source_Data!G56</f>
        <v>Part-time</v>
      </c>
      <c r="F56" s="22" t="str">
        <f aca="false">Source_Data!K56</f>
        <v>Python Programming</v>
      </c>
      <c r="G56" s="23" t="n">
        <f aca="false">Source_Data!Z56</f>
        <v>35</v>
      </c>
      <c r="H56" s="24" t="n">
        <f aca="false">Source_Data!AV56</f>
        <v>4.83</v>
      </c>
      <c r="I56" s="23" t="n">
        <f aca="false">Source_Data!AW56</f>
        <v>87</v>
      </c>
      <c r="J56" s="23" t="n">
        <f aca="false">Source_Data!AX56</f>
        <v>89</v>
      </c>
      <c r="K56" s="24" t="n">
        <f aca="false">Source_Data!AY56</f>
        <v>4.64</v>
      </c>
      <c r="L56" s="24" t="n">
        <f aca="false">Source_Data!AZ56</f>
        <v>14</v>
      </c>
      <c r="M56" s="24" t="n">
        <f aca="false">Source_Data!AO56</f>
        <v>6</v>
      </c>
      <c r="N56" s="24" t="n">
        <f aca="false">Source_Data!AP56</f>
        <v>4</v>
      </c>
      <c r="O56" s="24" t="n">
        <f aca="false">Source_Data!AR56</f>
        <v>4</v>
      </c>
      <c r="P56" s="24" t="n">
        <f aca="false">Source_Data!AU56</f>
        <v>0</v>
      </c>
      <c r="Q56" s="25" t="str">
        <f aca="false">IF(H56&lt;Controls!$B$4,"Critical",IF(H56&lt;Controls!$B$5,"Needs Support",IF(H56&lt;Controls!$B$6,"Good","Excellent")))</f>
        <v>Excellent</v>
      </c>
      <c r="R56" s="25" t="str">
        <f aca="false">IF(G56&gt;Controls!$B$7,"High",IF(G56&lt;Controls!$B$8,"Low","Balanced"))</f>
        <v>Balanced</v>
      </c>
      <c r="S56" s="25" t="str">
        <f aca="false">IF(I56&lt;Controls!$B$9,"Yes","No")</f>
        <v>No</v>
      </c>
      <c r="T56" s="25" t="str">
        <f aca="false">IF(J56&lt;Controls!$B$10,"Yes","No")</f>
        <v>No</v>
      </c>
      <c r="U56" s="25" t="str">
        <f aca="false">IF(L56&lt;Controls!$B$11,"Yes","No")</f>
        <v>No</v>
      </c>
      <c r="V56" s="25" t="str">
        <f aca="false">IF(K56&lt;Controls!$B$12,"Yes","No")</f>
        <v>No</v>
      </c>
      <c r="W56" s="25" t="str">
        <f aca="false">IF(G56&gt;Controls!$B$7,"Yes","No")</f>
        <v>No</v>
      </c>
      <c r="X56" s="25" t="n">
        <f aca="false">COUNTIF(S56:W56,"Yes")</f>
        <v>0</v>
      </c>
      <c r="Y56" s="25" t="str">
        <f aca="false">IF(X56&gt;=3,"High",IF(X56=2,"Medium","Low"))</f>
        <v>Low</v>
      </c>
      <c r="Z56" s="25" t="str">
        <f aca="false">IF(S56="Yes","Improve student attendance support",IF(T56="Yes","Accelerate course completion support",IF(U56="Yes","Increase faculty training/coaching",IF(V56="Yes","Target performance coaching",IF(W56="Yes","Rebalance teaching workload","Maintain current teaching plan")))))</f>
        <v>Maintain current teaching plan</v>
      </c>
    </row>
    <row r="57" customFormat="false" ht="15" hidden="false" customHeight="false" outlineLevel="0" collapsed="false">
      <c r="A57" s="22" t="str">
        <f aca="false">Source_Data!A57</f>
        <v>F056</v>
      </c>
      <c r="B57" s="22" t="str">
        <f aca="false">Source_Data!B57</f>
        <v>Faculty_56</v>
      </c>
      <c r="C57" s="22" t="str">
        <f aca="false">Source_Data!E57</f>
        <v>Management</v>
      </c>
      <c r="D57" s="22" t="str">
        <f aca="false">Source_Data!F57</f>
        <v>Lecturer</v>
      </c>
      <c r="E57" s="22" t="str">
        <f aca="false">Source_Data!G57</f>
        <v>Full-time</v>
      </c>
      <c r="F57" s="22" t="str">
        <f aca="false">Source_Data!K57</f>
        <v>Business Statistics</v>
      </c>
      <c r="G57" s="23" t="n">
        <f aca="false">Source_Data!Z57</f>
        <v>50</v>
      </c>
      <c r="H57" s="24" t="n">
        <f aca="false">Source_Data!AV57</f>
        <v>4.41</v>
      </c>
      <c r="I57" s="23" t="n">
        <f aca="false">Source_Data!AW57</f>
        <v>74</v>
      </c>
      <c r="J57" s="23" t="n">
        <f aca="false">Source_Data!AX57</f>
        <v>93</v>
      </c>
      <c r="K57" s="24" t="n">
        <f aca="false">Source_Data!AY57</f>
        <v>4.53</v>
      </c>
      <c r="L57" s="24" t="n">
        <f aca="false">Source_Data!AZ57</f>
        <v>12</v>
      </c>
      <c r="M57" s="24" t="n">
        <f aca="false">Source_Data!AO57</f>
        <v>9</v>
      </c>
      <c r="N57" s="24" t="n">
        <f aca="false">Source_Data!AP57</f>
        <v>7</v>
      </c>
      <c r="O57" s="24" t="n">
        <f aca="false">Source_Data!AR57</f>
        <v>4</v>
      </c>
      <c r="P57" s="24" t="n">
        <f aca="false">Source_Data!AU57</f>
        <v>1</v>
      </c>
      <c r="Q57" s="25" t="str">
        <f aca="false">IF(H57&lt;Controls!$B$4,"Critical",IF(H57&lt;Controls!$B$5,"Needs Support",IF(H57&lt;Controls!$B$6,"Good","Excellent")))</f>
        <v>Good</v>
      </c>
      <c r="R57" s="25" t="str">
        <f aca="false">IF(G57&gt;Controls!$B$7,"High",IF(G57&lt;Controls!$B$8,"Low","Balanced"))</f>
        <v>High</v>
      </c>
      <c r="S57" s="25" t="str">
        <f aca="false">IF(I57&lt;Controls!$B$9,"Yes","No")</f>
        <v>Yes</v>
      </c>
      <c r="T57" s="25" t="str">
        <f aca="false">IF(J57&lt;Controls!$B$10,"Yes","No")</f>
        <v>No</v>
      </c>
      <c r="U57" s="25" t="str">
        <f aca="false">IF(L57&lt;Controls!$B$11,"Yes","No")</f>
        <v>No</v>
      </c>
      <c r="V57" s="25" t="str">
        <f aca="false">IF(K57&lt;Controls!$B$12,"Yes","No")</f>
        <v>No</v>
      </c>
      <c r="W57" s="25" t="str">
        <f aca="false">IF(G57&gt;Controls!$B$7,"Yes","No")</f>
        <v>Yes</v>
      </c>
      <c r="X57" s="25" t="n">
        <f aca="false">COUNTIF(S57:W57,"Yes")</f>
        <v>2</v>
      </c>
      <c r="Y57" s="25" t="str">
        <f aca="false">IF(X57&gt;=3,"High",IF(X57=2,"Medium","Low"))</f>
        <v>Medium</v>
      </c>
      <c r="Z57" s="25" t="str">
        <f aca="false">IF(S57="Yes","Improve student attendance support",IF(T57="Yes","Accelerate course completion support",IF(U57="Yes","Increase faculty training/coaching",IF(V57="Yes","Target performance coaching",IF(W57="Yes","Rebalance teaching workload","Maintain current teaching plan")))))</f>
        <v>Improve student attendance support</v>
      </c>
    </row>
    <row r="58" customFormat="false" ht="15" hidden="false" customHeight="false" outlineLevel="0" collapsed="false">
      <c r="A58" s="22" t="str">
        <f aca="false">Source_Data!A58</f>
        <v>F057</v>
      </c>
      <c r="B58" s="22" t="str">
        <f aca="false">Source_Data!B58</f>
        <v>Faculty_57</v>
      </c>
      <c r="C58" s="22" t="str">
        <f aca="false">Source_Data!E58</f>
        <v>Commerce</v>
      </c>
      <c r="D58" s="22" t="str">
        <f aca="false">Source_Data!F58</f>
        <v>Assistant Professor</v>
      </c>
      <c r="E58" s="22" t="str">
        <f aca="false">Source_Data!G58</f>
        <v>Full-time</v>
      </c>
      <c r="F58" s="22" t="str">
        <f aca="false">Source_Data!K58</f>
        <v>Python Programming</v>
      </c>
      <c r="G58" s="23" t="n">
        <f aca="false">Source_Data!Z58</f>
        <v>25</v>
      </c>
      <c r="H58" s="24" t="n">
        <f aca="false">Source_Data!AV58</f>
        <v>3.71</v>
      </c>
      <c r="I58" s="23" t="n">
        <f aca="false">Source_Data!AW58</f>
        <v>85</v>
      </c>
      <c r="J58" s="23" t="n">
        <f aca="false">Source_Data!AX58</f>
        <v>75</v>
      </c>
      <c r="K58" s="24" t="n">
        <f aca="false">Source_Data!AY58</f>
        <v>3.73</v>
      </c>
      <c r="L58" s="24" t="n">
        <f aca="false">Source_Data!AZ58</f>
        <v>19</v>
      </c>
      <c r="M58" s="24" t="n">
        <f aca="false">Source_Data!AO58</f>
        <v>9</v>
      </c>
      <c r="N58" s="24" t="n">
        <f aca="false">Source_Data!AP58</f>
        <v>1</v>
      </c>
      <c r="O58" s="24" t="n">
        <f aca="false">Source_Data!AR58</f>
        <v>5</v>
      </c>
      <c r="P58" s="24" t="n">
        <f aca="false">Source_Data!AU58</f>
        <v>6</v>
      </c>
      <c r="Q58" s="25" t="str">
        <f aca="false">IF(H58&lt;Controls!$B$4,"Critical",IF(H58&lt;Controls!$B$5,"Needs Support",IF(H58&lt;Controls!$B$6,"Good","Excellent")))</f>
        <v>Needs Support</v>
      </c>
      <c r="R58" s="25" t="str">
        <f aca="false">IF(G58&gt;Controls!$B$7,"High",IF(G58&lt;Controls!$B$8,"Low","Balanced"))</f>
        <v>Balanced</v>
      </c>
      <c r="S58" s="25" t="str">
        <f aca="false">IF(I58&lt;Controls!$B$9,"Yes","No")</f>
        <v>No</v>
      </c>
      <c r="T58" s="25" t="str">
        <f aca="false">IF(J58&lt;Controls!$B$10,"Yes","No")</f>
        <v>Yes</v>
      </c>
      <c r="U58" s="25" t="str">
        <f aca="false">IF(L58&lt;Controls!$B$11,"Yes","No")</f>
        <v>No</v>
      </c>
      <c r="V58" s="25" t="str">
        <f aca="false">IF(K58&lt;Controls!$B$12,"Yes","No")</f>
        <v>Yes</v>
      </c>
      <c r="W58" s="25" t="str">
        <f aca="false">IF(G58&gt;Controls!$B$7,"Yes","No")</f>
        <v>No</v>
      </c>
      <c r="X58" s="25" t="n">
        <f aca="false">COUNTIF(S58:W58,"Yes")</f>
        <v>2</v>
      </c>
      <c r="Y58" s="25" t="str">
        <f aca="false">IF(X58&gt;=3,"High",IF(X58=2,"Medium","Low"))</f>
        <v>Medium</v>
      </c>
      <c r="Z58" s="25" t="str">
        <f aca="false">IF(S58="Yes","Improve student attendance support",IF(T58="Yes","Accelerate course completion support",IF(U58="Yes","Increase faculty training/coaching",IF(V58="Yes","Target performance coaching",IF(W58="Yes","Rebalance teaching workload","Maintain current teaching plan")))))</f>
        <v>Accelerate course completion support</v>
      </c>
    </row>
    <row r="59" customFormat="false" ht="15" hidden="false" customHeight="false" outlineLevel="0" collapsed="false">
      <c r="A59" s="22" t="str">
        <f aca="false">Source_Data!A59</f>
        <v>F058</v>
      </c>
      <c r="B59" s="22" t="str">
        <f aca="false">Source_Data!B59</f>
        <v>Faculty_58</v>
      </c>
      <c r="C59" s="22" t="str">
        <f aca="false">Source_Data!E59</f>
        <v>Mathematics</v>
      </c>
      <c r="D59" s="22" t="str">
        <f aca="false">Source_Data!F59</f>
        <v>Professor</v>
      </c>
      <c r="E59" s="22" t="str">
        <f aca="false">Source_Data!G59</f>
        <v>Full-time</v>
      </c>
      <c r="F59" s="22" t="str">
        <f aca="false">Source_Data!K59</f>
        <v>Python Programming</v>
      </c>
      <c r="G59" s="23" t="n">
        <f aca="false">Source_Data!Z59</f>
        <v>25</v>
      </c>
      <c r="H59" s="24" t="n">
        <f aca="false">Source_Data!AV59</f>
        <v>3.31</v>
      </c>
      <c r="I59" s="23" t="n">
        <f aca="false">Source_Data!AW59</f>
        <v>69</v>
      </c>
      <c r="J59" s="23" t="n">
        <f aca="false">Source_Data!AX59</f>
        <v>76</v>
      </c>
      <c r="K59" s="24" t="n">
        <f aca="false">Source_Data!AY59</f>
        <v>3.55</v>
      </c>
      <c r="L59" s="24" t="n">
        <f aca="false">Source_Data!AZ59</f>
        <v>16</v>
      </c>
      <c r="M59" s="24" t="n">
        <f aca="false">Source_Data!AO59</f>
        <v>0</v>
      </c>
      <c r="N59" s="24" t="n">
        <f aca="false">Source_Data!AP59</f>
        <v>3</v>
      </c>
      <c r="O59" s="24" t="n">
        <f aca="false">Source_Data!AR59</f>
        <v>3</v>
      </c>
      <c r="P59" s="24" t="n">
        <f aca="false">Source_Data!AU59</f>
        <v>5</v>
      </c>
      <c r="Q59" s="25" t="str">
        <f aca="false">IF(H59&lt;Controls!$B$4,"Critical",IF(H59&lt;Controls!$B$5,"Needs Support",IF(H59&lt;Controls!$B$6,"Good","Excellent")))</f>
        <v>Critical</v>
      </c>
      <c r="R59" s="25" t="str">
        <f aca="false">IF(G59&gt;Controls!$B$7,"High",IF(G59&lt;Controls!$B$8,"Low","Balanced"))</f>
        <v>Balanced</v>
      </c>
      <c r="S59" s="25" t="str">
        <f aca="false">IF(I59&lt;Controls!$B$9,"Yes","No")</f>
        <v>Yes</v>
      </c>
      <c r="T59" s="25" t="str">
        <f aca="false">IF(J59&lt;Controls!$B$10,"Yes","No")</f>
        <v>Yes</v>
      </c>
      <c r="U59" s="25" t="str">
        <f aca="false">IF(L59&lt;Controls!$B$11,"Yes","No")</f>
        <v>No</v>
      </c>
      <c r="V59" s="25" t="str">
        <f aca="false">IF(K59&lt;Controls!$B$12,"Yes","No")</f>
        <v>Yes</v>
      </c>
      <c r="W59" s="25" t="str">
        <f aca="false">IF(G59&gt;Controls!$B$7,"Yes","No")</f>
        <v>No</v>
      </c>
      <c r="X59" s="25" t="n">
        <f aca="false">COUNTIF(S59:W59,"Yes")</f>
        <v>3</v>
      </c>
      <c r="Y59" s="25" t="str">
        <f aca="false">IF(X59&gt;=3,"High",IF(X59=2,"Medium","Low"))</f>
        <v>High</v>
      </c>
      <c r="Z59" s="25" t="str">
        <f aca="false">IF(S59="Yes","Improve student attendance support",IF(T59="Yes","Accelerate course completion support",IF(U59="Yes","Increase faculty training/coaching",IF(V59="Yes","Target performance coaching",IF(W59="Yes","Rebalance teaching workload","Maintain current teaching plan")))))</f>
        <v>Improve student attendance support</v>
      </c>
    </row>
    <row r="60" customFormat="false" ht="15" hidden="false" customHeight="false" outlineLevel="0" collapsed="false">
      <c r="A60" s="22" t="str">
        <f aca="false">Source_Data!A60</f>
        <v>F059</v>
      </c>
      <c r="B60" s="22" t="str">
        <f aca="false">Source_Data!B60</f>
        <v>Faculty_59</v>
      </c>
      <c r="C60" s="22" t="str">
        <f aca="false">Source_Data!E60</f>
        <v>Mathematics</v>
      </c>
      <c r="D60" s="22" t="str">
        <f aca="false">Source_Data!F60</f>
        <v>Professor</v>
      </c>
      <c r="E60" s="22" t="str">
        <f aca="false">Source_Data!G60</f>
        <v>Part-time</v>
      </c>
      <c r="F60" s="22" t="str">
        <f aca="false">Source_Data!K60</f>
        <v>Financial Management</v>
      </c>
      <c r="G60" s="23" t="n">
        <f aca="false">Source_Data!Z60</f>
        <v>20</v>
      </c>
      <c r="H60" s="24" t="n">
        <f aca="false">Source_Data!AV60</f>
        <v>3.56</v>
      </c>
      <c r="I60" s="23" t="n">
        <f aca="false">Source_Data!AW60</f>
        <v>100</v>
      </c>
      <c r="J60" s="23" t="n">
        <f aca="false">Source_Data!AX60</f>
        <v>97</v>
      </c>
      <c r="K60" s="24" t="n">
        <f aca="false">Source_Data!AY60</f>
        <v>4.21</v>
      </c>
      <c r="L60" s="24" t="n">
        <f aca="false">Source_Data!AZ60</f>
        <v>19</v>
      </c>
      <c r="M60" s="24" t="n">
        <f aca="false">Source_Data!AO60</f>
        <v>0</v>
      </c>
      <c r="N60" s="24" t="n">
        <f aca="false">Source_Data!AP60</f>
        <v>1</v>
      </c>
      <c r="O60" s="24" t="n">
        <f aca="false">Source_Data!AR60</f>
        <v>2</v>
      </c>
      <c r="P60" s="24" t="n">
        <f aca="false">Source_Data!AU60</f>
        <v>8</v>
      </c>
      <c r="Q60" s="25" t="str">
        <f aca="false">IF(H60&lt;Controls!$B$4,"Critical",IF(H60&lt;Controls!$B$5,"Needs Support",IF(H60&lt;Controls!$B$6,"Good","Excellent")))</f>
        <v>Needs Support</v>
      </c>
      <c r="R60" s="25" t="str">
        <f aca="false">IF(G60&gt;Controls!$B$7,"High",IF(G60&lt;Controls!$B$8,"Low","Balanced"))</f>
        <v>Low</v>
      </c>
      <c r="S60" s="25" t="str">
        <f aca="false">IF(I60&lt;Controls!$B$9,"Yes","No")</f>
        <v>No</v>
      </c>
      <c r="T60" s="25" t="str">
        <f aca="false">IF(J60&lt;Controls!$B$10,"Yes","No")</f>
        <v>No</v>
      </c>
      <c r="U60" s="25" t="str">
        <f aca="false">IF(L60&lt;Controls!$B$11,"Yes","No")</f>
        <v>No</v>
      </c>
      <c r="V60" s="25" t="str">
        <f aca="false">IF(K60&lt;Controls!$B$12,"Yes","No")</f>
        <v>No</v>
      </c>
      <c r="W60" s="25" t="str">
        <f aca="false">IF(G60&gt;Controls!$B$7,"Yes","No")</f>
        <v>No</v>
      </c>
      <c r="X60" s="25" t="n">
        <f aca="false">COUNTIF(S60:W60,"Yes")</f>
        <v>0</v>
      </c>
      <c r="Y60" s="25" t="str">
        <f aca="false">IF(X60&gt;=3,"High",IF(X60=2,"Medium","Low"))</f>
        <v>Low</v>
      </c>
      <c r="Z60" s="25" t="str">
        <f aca="false">IF(S60="Yes","Improve student attendance support",IF(T60="Yes","Accelerate course completion support",IF(U60="Yes","Increase faculty training/coaching",IF(V60="Yes","Target performance coaching",IF(W60="Yes","Rebalance teaching workload","Maintain current teaching plan")))))</f>
        <v>Maintain current teaching plan</v>
      </c>
    </row>
    <row r="61" customFormat="false" ht="15" hidden="false" customHeight="false" outlineLevel="0" collapsed="false">
      <c r="A61" s="22" t="str">
        <f aca="false">Source_Data!A61</f>
        <v>F060</v>
      </c>
      <c r="B61" s="22" t="str">
        <f aca="false">Source_Data!B61</f>
        <v>Faculty_60</v>
      </c>
      <c r="C61" s="22" t="str">
        <f aca="false">Source_Data!E61</f>
        <v>Management</v>
      </c>
      <c r="D61" s="22" t="str">
        <f aca="false">Source_Data!F61</f>
        <v>Professor</v>
      </c>
      <c r="E61" s="22" t="str">
        <f aca="false">Source_Data!G61</f>
        <v>Part-time</v>
      </c>
      <c r="F61" s="22" t="str">
        <f aca="false">Source_Data!K61</f>
        <v>Python Programming</v>
      </c>
      <c r="G61" s="23" t="n">
        <f aca="false">Source_Data!Z61</f>
        <v>35</v>
      </c>
      <c r="H61" s="24" t="n">
        <f aca="false">Source_Data!AV61</f>
        <v>4.43</v>
      </c>
      <c r="I61" s="23" t="n">
        <f aca="false">Source_Data!AW61</f>
        <v>88</v>
      </c>
      <c r="J61" s="23" t="n">
        <f aca="false">Source_Data!AX61</f>
        <v>77</v>
      </c>
      <c r="K61" s="24" t="n">
        <f aca="false">Source_Data!AY61</f>
        <v>4.14</v>
      </c>
      <c r="L61" s="24" t="n">
        <f aca="false">Source_Data!AZ61</f>
        <v>18</v>
      </c>
      <c r="M61" s="24" t="n">
        <f aca="false">Source_Data!AO61</f>
        <v>3</v>
      </c>
      <c r="N61" s="24" t="n">
        <f aca="false">Source_Data!AP61</f>
        <v>0</v>
      </c>
      <c r="O61" s="24" t="n">
        <f aca="false">Source_Data!AR61</f>
        <v>4</v>
      </c>
      <c r="P61" s="24" t="n">
        <f aca="false">Source_Data!AU61</f>
        <v>2</v>
      </c>
      <c r="Q61" s="25" t="str">
        <f aca="false">IF(H61&lt;Controls!$B$4,"Critical",IF(H61&lt;Controls!$B$5,"Needs Support",IF(H61&lt;Controls!$B$6,"Good","Excellent")))</f>
        <v>Good</v>
      </c>
      <c r="R61" s="25" t="str">
        <f aca="false">IF(G61&gt;Controls!$B$7,"High",IF(G61&lt;Controls!$B$8,"Low","Balanced"))</f>
        <v>Balanced</v>
      </c>
      <c r="S61" s="25" t="str">
        <f aca="false">IF(I61&lt;Controls!$B$9,"Yes","No")</f>
        <v>No</v>
      </c>
      <c r="T61" s="25" t="str">
        <f aca="false">IF(J61&lt;Controls!$B$10,"Yes","No")</f>
        <v>Yes</v>
      </c>
      <c r="U61" s="25" t="str">
        <f aca="false">IF(L61&lt;Controls!$B$11,"Yes","No")</f>
        <v>No</v>
      </c>
      <c r="V61" s="25" t="str">
        <f aca="false">IF(K61&lt;Controls!$B$12,"Yes","No")</f>
        <v>No</v>
      </c>
      <c r="W61" s="25" t="str">
        <f aca="false">IF(G61&gt;Controls!$B$7,"Yes","No")</f>
        <v>No</v>
      </c>
      <c r="X61" s="25" t="n">
        <f aca="false">COUNTIF(S61:W61,"Yes")</f>
        <v>1</v>
      </c>
      <c r="Y61" s="25" t="str">
        <f aca="false">IF(X61&gt;=3,"High",IF(X61=2,"Medium","Low"))</f>
        <v>Low</v>
      </c>
      <c r="Z61" s="25" t="str">
        <f aca="false">IF(S61="Yes","Improve student attendance support",IF(T61="Yes","Accelerate course completion support",IF(U61="Yes","Increase faculty training/coaching",IF(V61="Yes","Target performance coaching",IF(W61="Yes","Rebalance teaching workload","Maintain current teaching plan")))))</f>
        <v>Accelerate course completion support</v>
      </c>
    </row>
    <row r="62" customFormat="false" ht="15" hidden="false" customHeight="false" outlineLevel="0" collapsed="false">
      <c r="A62" s="22" t="str">
        <f aca="false">Source_Data!A62</f>
        <v>F061</v>
      </c>
      <c r="B62" s="22" t="str">
        <f aca="false">Source_Data!B62</f>
        <v>Faculty_61</v>
      </c>
      <c r="C62" s="22" t="str">
        <f aca="false">Source_Data!E62</f>
        <v>Economics</v>
      </c>
      <c r="D62" s="22" t="str">
        <f aca="false">Source_Data!F62</f>
        <v>Lecturer</v>
      </c>
      <c r="E62" s="22" t="str">
        <f aca="false">Source_Data!G62</f>
        <v>Full-time</v>
      </c>
      <c r="F62" s="22" t="str">
        <f aca="false">Source_Data!K62</f>
        <v>Marketing</v>
      </c>
      <c r="G62" s="23" t="n">
        <f aca="false">Source_Data!Z62</f>
        <v>35</v>
      </c>
      <c r="H62" s="24" t="n">
        <f aca="false">Source_Data!AV62</f>
        <v>4.88</v>
      </c>
      <c r="I62" s="23" t="n">
        <f aca="false">Source_Data!AW62</f>
        <v>72</v>
      </c>
      <c r="J62" s="23" t="n">
        <f aca="false">Source_Data!AX62</f>
        <v>72</v>
      </c>
      <c r="K62" s="24" t="n">
        <f aca="false">Source_Data!AY62</f>
        <v>4.24</v>
      </c>
      <c r="L62" s="24" t="n">
        <f aca="false">Source_Data!AZ62</f>
        <v>16</v>
      </c>
      <c r="M62" s="24" t="n">
        <f aca="false">Source_Data!AO62</f>
        <v>9</v>
      </c>
      <c r="N62" s="24" t="n">
        <f aca="false">Source_Data!AP62</f>
        <v>7</v>
      </c>
      <c r="O62" s="24" t="n">
        <f aca="false">Source_Data!AR62</f>
        <v>1</v>
      </c>
      <c r="P62" s="24" t="n">
        <f aca="false">Source_Data!AU62</f>
        <v>5</v>
      </c>
      <c r="Q62" s="25" t="str">
        <f aca="false">IF(H62&lt;Controls!$B$4,"Critical",IF(H62&lt;Controls!$B$5,"Needs Support",IF(H62&lt;Controls!$B$6,"Good","Excellent")))</f>
        <v>Excellent</v>
      </c>
      <c r="R62" s="25" t="str">
        <f aca="false">IF(G62&gt;Controls!$B$7,"High",IF(G62&lt;Controls!$B$8,"Low","Balanced"))</f>
        <v>Balanced</v>
      </c>
      <c r="S62" s="25" t="str">
        <f aca="false">IF(I62&lt;Controls!$B$9,"Yes","No")</f>
        <v>Yes</v>
      </c>
      <c r="T62" s="25" t="str">
        <f aca="false">IF(J62&lt;Controls!$B$10,"Yes","No")</f>
        <v>Yes</v>
      </c>
      <c r="U62" s="25" t="str">
        <f aca="false">IF(L62&lt;Controls!$B$11,"Yes","No")</f>
        <v>No</v>
      </c>
      <c r="V62" s="25" t="str">
        <f aca="false">IF(K62&lt;Controls!$B$12,"Yes","No")</f>
        <v>No</v>
      </c>
      <c r="W62" s="25" t="str">
        <f aca="false">IF(G62&gt;Controls!$B$7,"Yes","No")</f>
        <v>No</v>
      </c>
      <c r="X62" s="25" t="n">
        <f aca="false">COUNTIF(S62:W62,"Yes")</f>
        <v>2</v>
      </c>
      <c r="Y62" s="25" t="str">
        <f aca="false">IF(X62&gt;=3,"High",IF(X62=2,"Medium","Low"))</f>
        <v>Medium</v>
      </c>
      <c r="Z62" s="25" t="str">
        <f aca="false">IF(S62="Yes","Improve student attendance support",IF(T62="Yes","Accelerate course completion support",IF(U62="Yes","Increase faculty training/coaching",IF(V62="Yes","Target performance coaching",IF(W62="Yes","Rebalance teaching workload","Maintain current teaching plan")))))</f>
        <v>Improve student attendance support</v>
      </c>
    </row>
    <row r="63" customFormat="false" ht="15" hidden="false" customHeight="false" outlineLevel="0" collapsed="false">
      <c r="A63" s="22" t="str">
        <f aca="false">Source_Data!A63</f>
        <v>F062</v>
      </c>
      <c r="B63" s="22" t="str">
        <f aca="false">Source_Data!B63</f>
        <v>Faculty_62</v>
      </c>
      <c r="C63" s="22" t="str">
        <f aca="false">Source_Data!E63</f>
        <v>Management</v>
      </c>
      <c r="D63" s="22" t="str">
        <f aca="false">Source_Data!F63</f>
        <v>Lecturer</v>
      </c>
      <c r="E63" s="22" t="str">
        <f aca="false">Source_Data!G63</f>
        <v>Part-time</v>
      </c>
      <c r="F63" s="22" t="str">
        <f aca="false">Source_Data!K63</f>
        <v>Python Programming</v>
      </c>
      <c r="G63" s="23" t="n">
        <f aca="false">Source_Data!Z63</f>
        <v>30</v>
      </c>
      <c r="H63" s="24" t="n">
        <f aca="false">Source_Data!AV63</f>
        <v>3.71</v>
      </c>
      <c r="I63" s="23" t="n">
        <f aca="false">Source_Data!AW63</f>
        <v>95</v>
      </c>
      <c r="J63" s="23" t="n">
        <f aca="false">Source_Data!AX63</f>
        <v>100</v>
      </c>
      <c r="K63" s="24" t="n">
        <f aca="false">Source_Data!AY63</f>
        <v>4.36</v>
      </c>
      <c r="L63" s="24" t="n">
        <f aca="false">Source_Data!AZ63</f>
        <v>9</v>
      </c>
      <c r="M63" s="24" t="n">
        <f aca="false">Source_Data!AO63</f>
        <v>10</v>
      </c>
      <c r="N63" s="24" t="n">
        <f aca="false">Source_Data!AP63</f>
        <v>7</v>
      </c>
      <c r="O63" s="24" t="n">
        <f aca="false">Source_Data!AR63</f>
        <v>4</v>
      </c>
      <c r="P63" s="24" t="n">
        <f aca="false">Source_Data!AU63</f>
        <v>6</v>
      </c>
      <c r="Q63" s="25" t="str">
        <f aca="false">IF(H63&lt;Controls!$B$4,"Critical",IF(H63&lt;Controls!$B$5,"Needs Support",IF(H63&lt;Controls!$B$6,"Good","Excellent")))</f>
        <v>Needs Support</v>
      </c>
      <c r="R63" s="25" t="str">
        <f aca="false">IF(G63&gt;Controls!$B$7,"High",IF(G63&lt;Controls!$B$8,"Low","Balanced"))</f>
        <v>Balanced</v>
      </c>
      <c r="S63" s="25" t="str">
        <f aca="false">IF(I63&lt;Controls!$B$9,"Yes","No")</f>
        <v>No</v>
      </c>
      <c r="T63" s="25" t="str">
        <f aca="false">IF(J63&lt;Controls!$B$10,"Yes","No")</f>
        <v>No</v>
      </c>
      <c r="U63" s="25" t="str">
        <f aca="false">IF(L63&lt;Controls!$B$11,"Yes","No")</f>
        <v>No</v>
      </c>
      <c r="V63" s="25" t="str">
        <f aca="false">IF(K63&lt;Controls!$B$12,"Yes","No")</f>
        <v>No</v>
      </c>
      <c r="W63" s="25" t="str">
        <f aca="false">IF(G63&gt;Controls!$B$7,"Yes","No")</f>
        <v>No</v>
      </c>
      <c r="X63" s="25" t="n">
        <f aca="false">COUNTIF(S63:W63,"Yes")</f>
        <v>0</v>
      </c>
      <c r="Y63" s="25" t="str">
        <f aca="false">IF(X63&gt;=3,"High",IF(X63=2,"Medium","Low"))</f>
        <v>Low</v>
      </c>
      <c r="Z63" s="25" t="str">
        <f aca="false">IF(S63="Yes","Improve student attendance support",IF(T63="Yes","Accelerate course completion support",IF(U63="Yes","Increase faculty training/coaching",IF(V63="Yes","Target performance coaching",IF(W63="Yes","Rebalance teaching workload","Maintain current teaching plan")))))</f>
        <v>Maintain current teaching plan</v>
      </c>
    </row>
    <row r="64" customFormat="false" ht="15" hidden="false" customHeight="false" outlineLevel="0" collapsed="false">
      <c r="A64" s="22" t="str">
        <f aca="false">Source_Data!A64</f>
        <v>F063</v>
      </c>
      <c r="B64" s="22" t="str">
        <f aca="false">Source_Data!B64</f>
        <v>Faculty_63</v>
      </c>
      <c r="C64" s="22" t="str">
        <f aca="false">Source_Data!E64</f>
        <v>Computer Science</v>
      </c>
      <c r="D64" s="22" t="str">
        <f aca="false">Source_Data!F64</f>
        <v>Professor</v>
      </c>
      <c r="E64" s="22" t="str">
        <f aca="false">Source_Data!G64</f>
        <v>Visiting</v>
      </c>
      <c r="F64" s="22" t="str">
        <f aca="false">Source_Data!K64</f>
        <v>Business Statistics</v>
      </c>
      <c r="G64" s="23" t="n">
        <f aca="false">Source_Data!Z64</f>
        <v>55</v>
      </c>
      <c r="H64" s="24" t="n">
        <f aca="false">Source_Data!AV64</f>
        <v>4.47</v>
      </c>
      <c r="I64" s="23" t="n">
        <f aca="false">Source_Data!AW64</f>
        <v>66</v>
      </c>
      <c r="J64" s="23" t="n">
        <f aca="false">Source_Data!AX64</f>
        <v>77</v>
      </c>
      <c r="K64" s="24" t="n">
        <f aca="false">Source_Data!AY64</f>
        <v>4.16</v>
      </c>
      <c r="L64" s="24" t="n">
        <f aca="false">Source_Data!AZ64</f>
        <v>7</v>
      </c>
      <c r="M64" s="24" t="n">
        <f aca="false">Source_Data!AO64</f>
        <v>6</v>
      </c>
      <c r="N64" s="24" t="n">
        <f aca="false">Source_Data!AP64</f>
        <v>1</v>
      </c>
      <c r="O64" s="24" t="n">
        <f aca="false">Source_Data!AR64</f>
        <v>5</v>
      </c>
      <c r="P64" s="24" t="n">
        <f aca="false">Source_Data!AU64</f>
        <v>6</v>
      </c>
      <c r="Q64" s="25" t="str">
        <f aca="false">IF(H64&lt;Controls!$B$4,"Critical",IF(H64&lt;Controls!$B$5,"Needs Support",IF(H64&lt;Controls!$B$6,"Good","Excellent")))</f>
        <v>Good</v>
      </c>
      <c r="R64" s="25" t="str">
        <f aca="false">IF(G64&gt;Controls!$B$7,"High",IF(G64&lt;Controls!$B$8,"Low","Balanced"))</f>
        <v>High</v>
      </c>
      <c r="S64" s="25" t="str">
        <f aca="false">IF(I64&lt;Controls!$B$9,"Yes","No")</f>
        <v>Yes</v>
      </c>
      <c r="T64" s="25" t="str">
        <f aca="false">IF(J64&lt;Controls!$B$10,"Yes","No")</f>
        <v>Yes</v>
      </c>
      <c r="U64" s="25" t="str">
        <f aca="false">IF(L64&lt;Controls!$B$11,"Yes","No")</f>
        <v>Yes</v>
      </c>
      <c r="V64" s="25" t="str">
        <f aca="false">IF(K64&lt;Controls!$B$12,"Yes","No")</f>
        <v>No</v>
      </c>
      <c r="W64" s="25" t="str">
        <f aca="false">IF(G64&gt;Controls!$B$7,"Yes","No")</f>
        <v>Yes</v>
      </c>
      <c r="X64" s="25" t="n">
        <f aca="false">COUNTIF(S64:W64,"Yes")</f>
        <v>4</v>
      </c>
      <c r="Y64" s="25" t="str">
        <f aca="false">IF(X64&gt;=3,"High",IF(X64=2,"Medium","Low"))</f>
        <v>High</v>
      </c>
      <c r="Z64" s="25" t="str">
        <f aca="false">IF(S64="Yes","Improve student attendance support",IF(T64="Yes","Accelerate course completion support",IF(U64="Yes","Increase faculty training/coaching",IF(V64="Yes","Target performance coaching",IF(W64="Yes","Rebalance teaching workload","Maintain current teaching plan")))))</f>
        <v>Improve student attendance support</v>
      </c>
    </row>
    <row r="65" customFormat="false" ht="15" hidden="false" customHeight="false" outlineLevel="0" collapsed="false">
      <c r="A65" s="22" t="str">
        <f aca="false">Source_Data!A65</f>
        <v>F064</v>
      </c>
      <c r="B65" s="22" t="str">
        <f aca="false">Source_Data!B65</f>
        <v>Faculty_64</v>
      </c>
      <c r="C65" s="22" t="str">
        <f aca="false">Source_Data!E65</f>
        <v>Mathematics</v>
      </c>
      <c r="D65" s="22" t="str">
        <f aca="false">Source_Data!F65</f>
        <v>Lecturer</v>
      </c>
      <c r="E65" s="22" t="str">
        <f aca="false">Source_Data!G65</f>
        <v>Full-time</v>
      </c>
      <c r="F65" s="22" t="str">
        <f aca="false">Source_Data!K65</f>
        <v>Marketing</v>
      </c>
      <c r="G65" s="23" t="n">
        <f aca="false">Source_Data!Z65</f>
        <v>35</v>
      </c>
      <c r="H65" s="24" t="n">
        <f aca="false">Source_Data!AV65</f>
        <v>3.79</v>
      </c>
      <c r="I65" s="23" t="n">
        <f aca="false">Source_Data!AW65</f>
        <v>72</v>
      </c>
      <c r="J65" s="23" t="n">
        <f aca="false">Source_Data!AX65</f>
        <v>77</v>
      </c>
      <c r="K65" s="24" t="n">
        <f aca="false">Source_Data!AY65</f>
        <v>3.82</v>
      </c>
      <c r="L65" s="24" t="n">
        <f aca="false">Source_Data!AZ65</f>
        <v>19</v>
      </c>
      <c r="M65" s="24" t="n">
        <f aca="false">Source_Data!AO65</f>
        <v>7</v>
      </c>
      <c r="N65" s="24" t="n">
        <f aca="false">Source_Data!AP65</f>
        <v>0</v>
      </c>
      <c r="O65" s="24" t="n">
        <f aca="false">Source_Data!AR65</f>
        <v>3</v>
      </c>
      <c r="P65" s="24" t="n">
        <f aca="false">Source_Data!AU65</f>
        <v>6</v>
      </c>
      <c r="Q65" s="25" t="str">
        <f aca="false">IF(H65&lt;Controls!$B$4,"Critical",IF(H65&lt;Controls!$B$5,"Needs Support",IF(H65&lt;Controls!$B$6,"Good","Excellent")))</f>
        <v>Needs Support</v>
      </c>
      <c r="R65" s="25" t="str">
        <f aca="false">IF(G65&gt;Controls!$B$7,"High",IF(G65&lt;Controls!$B$8,"Low","Balanced"))</f>
        <v>Balanced</v>
      </c>
      <c r="S65" s="25" t="str">
        <f aca="false">IF(I65&lt;Controls!$B$9,"Yes","No")</f>
        <v>Yes</v>
      </c>
      <c r="T65" s="25" t="str">
        <f aca="false">IF(J65&lt;Controls!$B$10,"Yes","No")</f>
        <v>Yes</v>
      </c>
      <c r="U65" s="25" t="str">
        <f aca="false">IF(L65&lt;Controls!$B$11,"Yes","No")</f>
        <v>No</v>
      </c>
      <c r="V65" s="25" t="str">
        <f aca="false">IF(K65&lt;Controls!$B$12,"Yes","No")</f>
        <v>Yes</v>
      </c>
      <c r="W65" s="25" t="str">
        <f aca="false">IF(G65&gt;Controls!$B$7,"Yes","No")</f>
        <v>No</v>
      </c>
      <c r="X65" s="25" t="n">
        <f aca="false">COUNTIF(S65:W65,"Yes")</f>
        <v>3</v>
      </c>
      <c r="Y65" s="25" t="str">
        <f aca="false">IF(X65&gt;=3,"High",IF(X65=2,"Medium","Low"))</f>
        <v>High</v>
      </c>
      <c r="Z65" s="25" t="str">
        <f aca="false">IF(S65="Yes","Improve student attendance support",IF(T65="Yes","Accelerate course completion support",IF(U65="Yes","Increase faculty training/coaching",IF(V65="Yes","Target performance coaching",IF(W65="Yes","Rebalance teaching workload","Maintain current teaching plan")))))</f>
        <v>Improve student attendance support</v>
      </c>
    </row>
    <row r="66" customFormat="false" ht="15" hidden="false" customHeight="false" outlineLevel="0" collapsed="false">
      <c r="A66" s="22" t="str">
        <f aca="false">Source_Data!A66</f>
        <v>F065</v>
      </c>
      <c r="B66" s="22" t="str">
        <f aca="false">Source_Data!B66</f>
        <v>Faculty_65</v>
      </c>
      <c r="C66" s="22" t="str">
        <f aca="false">Source_Data!E66</f>
        <v>Commerce</v>
      </c>
      <c r="D66" s="22" t="str">
        <f aca="false">Source_Data!F66</f>
        <v>Assistant Professor</v>
      </c>
      <c r="E66" s="22" t="str">
        <f aca="false">Source_Data!G66</f>
        <v>Part-time</v>
      </c>
      <c r="F66" s="22" t="str">
        <f aca="false">Source_Data!K66</f>
        <v>Data Analytics</v>
      </c>
      <c r="G66" s="23" t="n">
        <f aca="false">Source_Data!Z66</f>
        <v>15</v>
      </c>
      <c r="H66" s="24" t="n">
        <f aca="false">Source_Data!AV66</f>
        <v>3.72</v>
      </c>
      <c r="I66" s="23" t="n">
        <f aca="false">Source_Data!AW66</f>
        <v>77</v>
      </c>
      <c r="J66" s="23" t="n">
        <f aca="false">Source_Data!AX66</f>
        <v>86</v>
      </c>
      <c r="K66" s="24" t="n">
        <f aca="false">Source_Data!AY66</f>
        <v>4.01</v>
      </c>
      <c r="L66" s="24" t="n">
        <f aca="false">Source_Data!AZ66</f>
        <v>18</v>
      </c>
      <c r="M66" s="24" t="n">
        <f aca="false">Source_Data!AO66</f>
        <v>6</v>
      </c>
      <c r="N66" s="24" t="n">
        <f aca="false">Source_Data!AP66</f>
        <v>2</v>
      </c>
      <c r="O66" s="24" t="n">
        <f aca="false">Source_Data!AR66</f>
        <v>3</v>
      </c>
      <c r="P66" s="24" t="n">
        <f aca="false">Source_Data!AU66</f>
        <v>5</v>
      </c>
      <c r="Q66" s="25" t="str">
        <f aca="false">IF(H66&lt;Controls!$B$4,"Critical",IF(H66&lt;Controls!$B$5,"Needs Support",IF(H66&lt;Controls!$B$6,"Good","Excellent")))</f>
        <v>Needs Support</v>
      </c>
      <c r="R66" s="25" t="str">
        <f aca="false">IF(G66&gt;Controls!$B$7,"High",IF(G66&lt;Controls!$B$8,"Low","Balanced"))</f>
        <v>Low</v>
      </c>
      <c r="S66" s="25" t="str">
        <f aca="false">IF(I66&lt;Controls!$B$9,"Yes","No")</f>
        <v>No</v>
      </c>
      <c r="T66" s="25" t="str">
        <f aca="false">IF(J66&lt;Controls!$B$10,"Yes","No")</f>
        <v>No</v>
      </c>
      <c r="U66" s="25" t="str">
        <f aca="false">IF(L66&lt;Controls!$B$11,"Yes","No")</f>
        <v>No</v>
      </c>
      <c r="V66" s="25" t="str">
        <f aca="false">IF(K66&lt;Controls!$B$12,"Yes","No")</f>
        <v>No</v>
      </c>
      <c r="W66" s="25" t="str">
        <f aca="false">IF(G66&gt;Controls!$B$7,"Yes","No")</f>
        <v>No</v>
      </c>
      <c r="X66" s="25" t="n">
        <f aca="false">COUNTIF(S66:W66,"Yes")</f>
        <v>0</v>
      </c>
      <c r="Y66" s="25" t="str">
        <f aca="false">IF(X66&gt;=3,"High",IF(X66=2,"Medium","Low"))</f>
        <v>Low</v>
      </c>
      <c r="Z66" s="25" t="str">
        <f aca="false">IF(S66="Yes","Improve student attendance support",IF(T66="Yes","Accelerate course completion support",IF(U66="Yes","Increase faculty training/coaching",IF(V66="Yes","Target performance coaching",IF(W66="Yes","Rebalance teaching workload","Maintain current teaching plan")))))</f>
        <v>Maintain current teaching plan</v>
      </c>
    </row>
    <row r="67" customFormat="false" ht="15" hidden="false" customHeight="false" outlineLevel="0" collapsed="false">
      <c r="A67" s="22" t="str">
        <f aca="false">Source_Data!A67</f>
        <v>F066</v>
      </c>
      <c r="B67" s="22" t="str">
        <f aca="false">Source_Data!B67</f>
        <v>Faculty_66</v>
      </c>
      <c r="C67" s="22" t="str">
        <f aca="false">Source_Data!E67</f>
        <v>Commerce</v>
      </c>
      <c r="D67" s="22" t="str">
        <f aca="false">Source_Data!F67</f>
        <v>Assistant Professor</v>
      </c>
      <c r="E67" s="22" t="str">
        <f aca="false">Source_Data!G67</f>
        <v>Visiting</v>
      </c>
      <c r="F67" s="22" t="str">
        <f aca="false">Source_Data!K67</f>
        <v>Marketing</v>
      </c>
      <c r="G67" s="23" t="n">
        <f aca="false">Source_Data!Z67</f>
        <v>45</v>
      </c>
      <c r="H67" s="24" t="n">
        <f aca="false">Source_Data!AV67</f>
        <v>4.14</v>
      </c>
      <c r="I67" s="23" t="n">
        <f aca="false">Source_Data!AW67</f>
        <v>95</v>
      </c>
      <c r="J67" s="23" t="n">
        <f aca="false">Source_Data!AX67</f>
        <v>90</v>
      </c>
      <c r="K67" s="24" t="n">
        <f aca="false">Source_Data!AY67</f>
        <v>4.32</v>
      </c>
      <c r="L67" s="24" t="n">
        <f aca="false">Source_Data!AZ67</f>
        <v>7</v>
      </c>
      <c r="M67" s="24" t="n">
        <f aca="false">Source_Data!AO67</f>
        <v>3</v>
      </c>
      <c r="N67" s="24" t="n">
        <f aca="false">Source_Data!AP67</f>
        <v>1</v>
      </c>
      <c r="O67" s="24" t="n">
        <f aca="false">Source_Data!AR67</f>
        <v>1</v>
      </c>
      <c r="P67" s="24" t="n">
        <f aca="false">Source_Data!AU67</f>
        <v>6</v>
      </c>
      <c r="Q67" s="25" t="str">
        <f aca="false">IF(H67&lt;Controls!$B$4,"Critical",IF(H67&lt;Controls!$B$5,"Needs Support",IF(H67&lt;Controls!$B$6,"Good","Excellent")))</f>
        <v>Good</v>
      </c>
      <c r="R67" s="25" t="str">
        <f aca="false">IF(G67&gt;Controls!$B$7,"High",IF(G67&lt;Controls!$B$8,"Low","Balanced"))</f>
        <v>High</v>
      </c>
      <c r="S67" s="25" t="str">
        <f aca="false">IF(I67&lt;Controls!$B$9,"Yes","No")</f>
        <v>No</v>
      </c>
      <c r="T67" s="25" t="str">
        <f aca="false">IF(J67&lt;Controls!$B$10,"Yes","No")</f>
        <v>No</v>
      </c>
      <c r="U67" s="25" t="str">
        <f aca="false">IF(L67&lt;Controls!$B$11,"Yes","No")</f>
        <v>Yes</v>
      </c>
      <c r="V67" s="25" t="str">
        <f aca="false">IF(K67&lt;Controls!$B$12,"Yes","No")</f>
        <v>No</v>
      </c>
      <c r="W67" s="25" t="str">
        <f aca="false">IF(G67&gt;Controls!$B$7,"Yes","No")</f>
        <v>Yes</v>
      </c>
      <c r="X67" s="25" t="n">
        <f aca="false">COUNTIF(S67:W67,"Yes")</f>
        <v>2</v>
      </c>
      <c r="Y67" s="25" t="str">
        <f aca="false">IF(X67&gt;=3,"High",IF(X67=2,"Medium","Low"))</f>
        <v>Medium</v>
      </c>
      <c r="Z67" s="25" t="str">
        <f aca="false">IF(S67="Yes","Improve student attendance support",IF(T67="Yes","Accelerate course completion support",IF(U67="Yes","Increase faculty training/coaching",IF(V67="Yes","Target performance coaching",IF(W67="Yes","Rebalance teaching workload","Maintain current teaching plan")))))</f>
        <v>Increase faculty training/coaching</v>
      </c>
    </row>
    <row r="68" customFormat="false" ht="15" hidden="false" customHeight="false" outlineLevel="0" collapsed="false">
      <c r="A68" s="22" t="str">
        <f aca="false">Source_Data!A68</f>
        <v>F067</v>
      </c>
      <c r="B68" s="22" t="str">
        <f aca="false">Source_Data!B68</f>
        <v>Faculty_67</v>
      </c>
      <c r="C68" s="22" t="str">
        <f aca="false">Source_Data!E68</f>
        <v>Commerce</v>
      </c>
      <c r="D68" s="22" t="str">
        <f aca="false">Source_Data!F68</f>
        <v>Assistant Professor</v>
      </c>
      <c r="E68" s="22" t="str">
        <f aca="false">Source_Data!G68</f>
        <v>Part-time</v>
      </c>
      <c r="F68" s="22" t="str">
        <f aca="false">Source_Data!K68</f>
        <v>Business Statistics</v>
      </c>
      <c r="G68" s="23" t="n">
        <f aca="false">Source_Data!Z68</f>
        <v>30</v>
      </c>
      <c r="H68" s="24" t="n">
        <f aca="false">Source_Data!AV68</f>
        <v>3.84</v>
      </c>
      <c r="I68" s="23" t="n">
        <f aca="false">Source_Data!AW68</f>
        <v>92</v>
      </c>
      <c r="J68" s="23" t="n">
        <f aca="false">Source_Data!AX68</f>
        <v>99</v>
      </c>
      <c r="K68" s="24" t="n">
        <f aca="false">Source_Data!AY68</f>
        <v>4.39</v>
      </c>
      <c r="L68" s="24" t="n">
        <f aca="false">Source_Data!AZ68</f>
        <v>5</v>
      </c>
      <c r="M68" s="24" t="n">
        <f aca="false">Source_Data!AO68</f>
        <v>4</v>
      </c>
      <c r="N68" s="24" t="n">
        <f aca="false">Source_Data!AP68</f>
        <v>0</v>
      </c>
      <c r="O68" s="24" t="n">
        <f aca="false">Source_Data!AR68</f>
        <v>1</v>
      </c>
      <c r="P68" s="24" t="n">
        <f aca="false">Source_Data!AU68</f>
        <v>8</v>
      </c>
      <c r="Q68" s="25" t="str">
        <f aca="false">IF(H68&lt;Controls!$B$4,"Critical",IF(H68&lt;Controls!$B$5,"Needs Support",IF(H68&lt;Controls!$B$6,"Good","Excellent")))</f>
        <v>Needs Support</v>
      </c>
      <c r="R68" s="25" t="str">
        <f aca="false">IF(G68&gt;Controls!$B$7,"High",IF(G68&lt;Controls!$B$8,"Low","Balanced"))</f>
        <v>Balanced</v>
      </c>
      <c r="S68" s="25" t="str">
        <f aca="false">IF(I68&lt;Controls!$B$9,"Yes","No")</f>
        <v>No</v>
      </c>
      <c r="T68" s="25" t="str">
        <f aca="false">IF(J68&lt;Controls!$B$10,"Yes","No")</f>
        <v>No</v>
      </c>
      <c r="U68" s="25" t="str">
        <f aca="false">IF(L68&lt;Controls!$B$11,"Yes","No")</f>
        <v>Yes</v>
      </c>
      <c r="V68" s="25" t="str">
        <f aca="false">IF(K68&lt;Controls!$B$12,"Yes","No")</f>
        <v>No</v>
      </c>
      <c r="W68" s="25" t="str">
        <f aca="false">IF(G68&gt;Controls!$B$7,"Yes","No")</f>
        <v>No</v>
      </c>
      <c r="X68" s="25" t="n">
        <f aca="false">COUNTIF(S68:W68,"Yes")</f>
        <v>1</v>
      </c>
      <c r="Y68" s="25" t="str">
        <f aca="false">IF(X68&gt;=3,"High",IF(X68=2,"Medium","Low"))</f>
        <v>Low</v>
      </c>
      <c r="Z68" s="25" t="str">
        <f aca="false">IF(S68="Yes","Improve student attendance support",IF(T68="Yes","Accelerate course completion support",IF(U68="Yes","Increase faculty training/coaching",IF(V68="Yes","Target performance coaching",IF(W68="Yes","Rebalance teaching workload","Maintain current teaching plan")))))</f>
        <v>Increase faculty training/coaching</v>
      </c>
    </row>
    <row r="69" customFormat="false" ht="15" hidden="false" customHeight="false" outlineLevel="0" collapsed="false">
      <c r="A69" s="22" t="str">
        <f aca="false">Source_Data!A69</f>
        <v>F068</v>
      </c>
      <c r="B69" s="22" t="str">
        <f aca="false">Source_Data!B69</f>
        <v>Faculty_68</v>
      </c>
      <c r="C69" s="22" t="str">
        <f aca="false">Source_Data!E69</f>
        <v>Economics</v>
      </c>
      <c r="D69" s="22" t="str">
        <f aca="false">Source_Data!F69</f>
        <v>Assistant Professor</v>
      </c>
      <c r="E69" s="22" t="str">
        <f aca="false">Source_Data!G69</f>
        <v>Full-time</v>
      </c>
      <c r="F69" s="22" t="str">
        <f aca="false">Source_Data!K69</f>
        <v>Financial Management</v>
      </c>
      <c r="G69" s="23" t="n">
        <f aca="false">Source_Data!Z69</f>
        <v>25</v>
      </c>
      <c r="H69" s="24" t="n">
        <f aca="false">Source_Data!AV69</f>
        <v>4.87</v>
      </c>
      <c r="I69" s="23" t="n">
        <f aca="false">Source_Data!AW69</f>
        <v>66</v>
      </c>
      <c r="J69" s="23" t="n">
        <f aca="false">Source_Data!AX69</f>
        <v>83</v>
      </c>
      <c r="K69" s="24" t="n">
        <f aca="false">Source_Data!AY69</f>
        <v>4.51</v>
      </c>
      <c r="L69" s="24" t="n">
        <f aca="false">Source_Data!AZ69</f>
        <v>16</v>
      </c>
      <c r="M69" s="24" t="n">
        <f aca="false">Source_Data!AO69</f>
        <v>6</v>
      </c>
      <c r="N69" s="24" t="n">
        <f aca="false">Source_Data!AP69</f>
        <v>5</v>
      </c>
      <c r="O69" s="24" t="n">
        <f aca="false">Source_Data!AR69</f>
        <v>3</v>
      </c>
      <c r="P69" s="24" t="n">
        <f aca="false">Source_Data!AU69</f>
        <v>7</v>
      </c>
      <c r="Q69" s="25" t="str">
        <f aca="false">IF(H69&lt;Controls!$B$4,"Critical",IF(H69&lt;Controls!$B$5,"Needs Support",IF(H69&lt;Controls!$B$6,"Good","Excellent")))</f>
        <v>Excellent</v>
      </c>
      <c r="R69" s="25" t="str">
        <f aca="false">IF(G69&gt;Controls!$B$7,"High",IF(G69&lt;Controls!$B$8,"Low","Balanced"))</f>
        <v>Balanced</v>
      </c>
      <c r="S69" s="25" t="str">
        <f aca="false">IF(I69&lt;Controls!$B$9,"Yes","No")</f>
        <v>Yes</v>
      </c>
      <c r="T69" s="25" t="str">
        <f aca="false">IF(J69&lt;Controls!$B$10,"Yes","No")</f>
        <v>No</v>
      </c>
      <c r="U69" s="25" t="str">
        <f aca="false">IF(L69&lt;Controls!$B$11,"Yes","No")</f>
        <v>No</v>
      </c>
      <c r="V69" s="25" t="str">
        <f aca="false">IF(K69&lt;Controls!$B$12,"Yes","No")</f>
        <v>No</v>
      </c>
      <c r="W69" s="25" t="str">
        <f aca="false">IF(G69&gt;Controls!$B$7,"Yes","No")</f>
        <v>No</v>
      </c>
      <c r="X69" s="25" t="n">
        <f aca="false">COUNTIF(S69:W69,"Yes")</f>
        <v>1</v>
      </c>
      <c r="Y69" s="25" t="str">
        <f aca="false">IF(X69&gt;=3,"High",IF(X69=2,"Medium","Low"))</f>
        <v>Low</v>
      </c>
      <c r="Z69" s="25" t="str">
        <f aca="false">IF(S69="Yes","Improve student attendance support",IF(T69="Yes","Accelerate course completion support",IF(U69="Yes","Increase faculty training/coaching",IF(V69="Yes","Target performance coaching",IF(W69="Yes","Rebalance teaching workload","Maintain current teaching plan")))))</f>
        <v>Improve student attendance support</v>
      </c>
    </row>
    <row r="70" customFormat="false" ht="15" hidden="false" customHeight="false" outlineLevel="0" collapsed="false">
      <c r="A70" s="22" t="str">
        <f aca="false">Source_Data!A70</f>
        <v>F069</v>
      </c>
      <c r="B70" s="22" t="str">
        <f aca="false">Source_Data!B70</f>
        <v>Faculty_69</v>
      </c>
      <c r="C70" s="22" t="str">
        <f aca="false">Source_Data!E70</f>
        <v>Commerce</v>
      </c>
      <c r="D70" s="22" t="str">
        <f aca="false">Source_Data!F70</f>
        <v>Lecturer</v>
      </c>
      <c r="E70" s="22" t="str">
        <f aca="false">Source_Data!G70</f>
        <v>Full-time</v>
      </c>
      <c r="F70" s="22" t="str">
        <f aca="false">Source_Data!K70</f>
        <v>Marketing</v>
      </c>
      <c r="G70" s="23" t="n">
        <f aca="false">Source_Data!Z70</f>
        <v>30</v>
      </c>
      <c r="H70" s="24" t="n">
        <f aca="false">Source_Data!AV70</f>
        <v>4.41</v>
      </c>
      <c r="I70" s="23" t="n">
        <f aca="false">Source_Data!AW70</f>
        <v>92</v>
      </c>
      <c r="J70" s="23" t="n">
        <f aca="false">Source_Data!AX70</f>
        <v>87</v>
      </c>
      <c r="K70" s="24" t="n">
        <f aca="false">Source_Data!AY70</f>
        <v>4.38</v>
      </c>
      <c r="L70" s="24" t="n">
        <f aca="false">Source_Data!AZ70</f>
        <v>0</v>
      </c>
      <c r="M70" s="24" t="n">
        <f aca="false">Source_Data!AO70</f>
        <v>9</v>
      </c>
      <c r="N70" s="24" t="n">
        <f aca="false">Source_Data!AP70</f>
        <v>3</v>
      </c>
      <c r="O70" s="24" t="n">
        <f aca="false">Source_Data!AR70</f>
        <v>2</v>
      </c>
      <c r="P70" s="24" t="n">
        <f aca="false">Source_Data!AU70</f>
        <v>5</v>
      </c>
      <c r="Q70" s="25" t="str">
        <f aca="false">IF(H70&lt;Controls!$B$4,"Critical",IF(H70&lt;Controls!$B$5,"Needs Support",IF(H70&lt;Controls!$B$6,"Good","Excellent")))</f>
        <v>Good</v>
      </c>
      <c r="R70" s="25" t="str">
        <f aca="false">IF(G70&gt;Controls!$B$7,"High",IF(G70&lt;Controls!$B$8,"Low","Balanced"))</f>
        <v>Balanced</v>
      </c>
      <c r="S70" s="25" t="str">
        <f aca="false">IF(I70&lt;Controls!$B$9,"Yes","No")</f>
        <v>No</v>
      </c>
      <c r="T70" s="25" t="str">
        <f aca="false">IF(J70&lt;Controls!$B$10,"Yes","No")</f>
        <v>No</v>
      </c>
      <c r="U70" s="25" t="str">
        <f aca="false">IF(L70&lt;Controls!$B$11,"Yes","No")</f>
        <v>Yes</v>
      </c>
      <c r="V70" s="25" t="str">
        <f aca="false">IF(K70&lt;Controls!$B$12,"Yes","No")</f>
        <v>No</v>
      </c>
      <c r="W70" s="25" t="str">
        <f aca="false">IF(G70&gt;Controls!$B$7,"Yes","No")</f>
        <v>No</v>
      </c>
      <c r="X70" s="25" t="n">
        <f aca="false">COUNTIF(S70:W70,"Yes")</f>
        <v>1</v>
      </c>
      <c r="Y70" s="25" t="str">
        <f aca="false">IF(X70&gt;=3,"High",IF(X70=2,"Medium","Low"))</f>
        <v>Low</v>
      </c>
      <c r="Z70" s="25" t="str">
        <f aca="false">IF(S70="Yes","Improve student attendance support",IF(T70="Yes","Accelerate course completion support",IF(U70="Yes","Increase faculty training/coaching",IF(V70="Yes","Target performance coaching",IF(W70="Yes","Rebalance teaching workload","Maintain current teaching plan")))))</f>
        <v>Increase faculty training/coaching</v>
      </c>
    </row>
    <row r="71" customFormat="false" ht="15" hidden="false" customHeight="false" outlineLevel="0" collapsed="false">
      <c r="A71" s="22" t="str">
        <f aca="false">Source_Data!A71</f>
        <v>F070</v>
      </c>
      <c r="B71" s="22" t="str">
        <f aca="false">Source_Data!B71</f>
        <v>Faculty_70</v>
      </c>
      <c r="C71" s="22" t="str">
        <f aca="false">Source_Data!E71</f>
        <v>Mathematics</v>
      </c>
      <c r="D71" s="22" t="str">
        <f aca="false">Source_Data!F71</f>
        <v>Lecturer</v>
      </c>
      <c r="E71" s="22" t="str">
        <f aca="false">Source_Data!G71</f>
        <v>Full-time</v>
      </c>
      <c r="F71" s="22" t="str">
        <f aca="false">Source_Data!K71</f>
        <v>Marketing</v>
      </c>
      <c r="G71" s="23" t="n">
        <f aca="false">Source_Data!Z71</f>
        <v>40</v>
      </c>
      <c r="H71" s="24" t="n">
        <f aca="false">Source_Data!AV71</f>
        <v>4.39</v>
      </c>
      <c r="I71" s="23" t="n">
        <f aca="false">Source_Data!AW71</f>
        <v>64</v>
      </c>
      <c r="J71" s="23" t="n">
        <f aca="false">Source_Data!AX71</f>
        <v>72</v>
      </c>
      <c r="K71" s="24" t="n">
        <f aca="false">Source_Data!AY71</f>
        <v>4</v>
      </c>
      <c r="L71" s="24" t="n">
        <f aca="false">Source_Data!AZ71</f>
        <v>12</v>
      </c>
      <c r="M71" s="24" t="n">
        <f aca="false">Source_Data!AO71</f>
        <v>2</v>
      </c>
      <c r="N71" s="24" t="n">
        <f aca="false">Source_Data!AP71</f>
        <v>3</v>
      </c>
      <c r="O71" s="24" t="n">
        <f aca="false">Source_Data!AR71</f>
        <v>4</v>
      </c>
      <c r="P71" s="24" t="n">
        <f aca="false">Source_Data!AU71</f>
        <v>0</v>
      </c>
      <c r="Q71" s="25" t="str">
        <f aca="false">IF(H71&lt;Controls!$B$4,"Critical",IF(H71&lt;Controls!$B$5,"Needs Support",IF(H71&lt;Controls!$B$6,"Good","Excellent")))</f>
        <v>Good</v>
      </c>
      <c r="R71" s="25" t="str">
        <f aca="false">IF(G71&gt;Controls!$B$7,"High",IF(G71&lt;Controls!$B$8,"Low","Balanced"))</f>
        <v>Balanced</v>
      </c>
      <c r="S71" s="25" t="str">
        <f aca="false">IF(I71&lt;Controls!$B$9,"Yes","No")</f>
        <v>Yes</v>
      </c>
      <c r="T71" s="25" t="str">
        <f aca="false">IF(J71&lt;Controls!$B$10,"Yes","No")</f>
        <v>Yes</v>
      </c>
      <c r="U71" s="25" t="str">
        <f aca="false">IF(L71&lt;Controls!$B$11,"Yes","No")</f>
        <v>No</v>
      </c>
      <c r="V71" s="25" t="str">
        <f aca="false">IF(K71&lt;Controls!$B$12,"Yes","No")</f>
        <v>No</v>
      </c>
      <c r="W71" s="25" t="str">
        <f aca="false">IF(G71&gt;Controls!$B$7,"Yes","No")</f>
        <v>No</v>
      </c>
      <c r="X71" s="25" t="n">
        <f aca="false">COUNTIF(S71:W71,"Yes")</f>
        <v>2</v>
      </c>
      <c r="Y71" s="25" t="str">
        <f aca="false">IF(X71&gt;=3,"High",IF(X71=2,"Medium","Low"))</f>
        <v>Medium</v>
      </c>
      <c r="Z71" s="25" t="str">
        <f aca="false">IF(S71="Yes","Improve student attendance support",IF(T71="Yes","Accelerate course completion support",IF(U71="Yes","Increase faculty training/coaching",IF(V71="Yes","Target performance coaching",IF(W71="Yes","Rebalance teaching workload","Maintain current teaching plan")))))</f>
        <v>Improve student attendance support</v>
      </c>
    </row>
    <row r="72" customFormat="false" ht="15" hidden="false" customHeight="false" outlineLevel="0" collapsed="false">
      <c r="A72" s="22" t="str">
        <f aca="false">Source_Data!A72</f>
        <v>F071</v>
      </c>
      <c r="B72" s="22" t="str">
        <f aca="false">Source_Data!B72</f>
        <v>Faculty_71</v>
      </c>
      <c r="C72" s="22" t="str">
        <f aca="false">Source_Data!E72</f>
        <v>Mathematics</v>
      </c>
      <c r="D72" s="22" t="str">
        <f aca="false">Source_Data!F72</f>
        <v>Professor</v>
      </c>
      <c r="E72" s="22" t="str">
        <f aca="false">Source_Data!G72</f>
        <v>Visiting</v>
      </c>
      <c r="F72" s="22" t="str">
        <f aca="false">Source_Data!K72</f>
        <v>Financial Management</v>
      </c>
      <c r="G72" s="23" t="n">
        <f aca="false">Source_Data!Z72</f>
        <v>35</v>
      </c>
      <c r="H72" s="24" t="n">
        <f aca="false">Source_Data!AV72</f>
        <v>4.06</v>
      </c>
      <c r="I72" s="23" t="n">
        <f aca="false">Source_Data!AW72</f>
        <v>88</v>
      </c>
      <c r="J72" s="23" t="n">
        <f aca="false">Source_Data!AX72</f>
        <v>84</v>
      </c>
      <c r="K72" s="24" t="n">
        <f aca="false">Source_Data!AY72</f>
        <v>4.13</v>
      </c>
      <c r="L72" s="24" t="n">
        <f aca="false">Source_Data!AZ72</f>
        <v>5</v>
      </c>
      <c r="M72" s="24" t="n">
        <f aca="false">Source_Data!AO72</f>
        <v>4</v>
      </c>
      <c r="N72" s="24" t="n">
        <f aca="false">Source_Data!AP72</f>
        <v>1</v>
      </c>
      <c r="O72" s="24" t="n">
        <f aca="false">Source_Data!AR72</f>
        <v>5</v>
      </c>
      <c r="P72" s="24" t="n">
        <f aca="false">Source_Data!AU72</f>
        <v>0</v>
      </c>
      <c r="Q72" s="25" t="str">
        <f aca="false">IF(H72&lt;Controls!$B$4,"Critical",IF(H72&lt;Controls!$B$5,"Needs Support",IF(H72&lt;Controls!$B$6,"Good","Excellent")))</f>
        <v>Good</v>
      </c>
      <c r="R72" s="25" t="str">
        <f aca="false">IF(G72&gt;Controls!$B$7,"High",IF(G72&lt;Controls!$B$8,"Low","Balanced"))</f>
        <v>Balanced</v>
      </c>
      <c r="S72" s="25" t="str">
        <f aca="false">IF(I72&lt;Controls!$B$9,"Yes","No")</f>
        <v>No</v>
      </c>
      <c r="T72" s="25" t="str">
        <f aca="false">IF(J72&lt;Controls!$B$10,"Yes","No")</f>
        <v>No</v>
      </c>
      <c r="U72" s="25" t="str">
        <f aca="false">IF(L72&lt;Controls!$B$11,"Yes","No")</f>
        <v>Yes</v>
      </c>
      <c r="V72" s="25" t="str">
        <f aca="false">IF(K72&lt;Controls!$B$12,"Yes","No")</f>
        <v>No</v>
      </c>
      <c r="W72" s="25" t="str">
        <f aca="false">IF(G72&gt;Controls!$B$7,"Yes","No")</f>
        <v>No</v>
      </c>
      <c r="X72" s="25" t="n">
        <f aca="false">COUNTIF(S72:W72,"Yes")</f>
        <v>1</v>
      </c>
      <c r="Y72" s="25" t="str">
        <f aca="false">IF(X72&gt;=3,"High",IF(X72=2,"Medium","Low"))</f>
        <v>Low</v>
      </c>
      <c r="Z72" s="25" t="str">
        <f aca="false">IF(S72="Yes","Improve student attendance support",IF(T72="Yes","Accelerate course completion support",IF(U72="Yes","Increase faculty training/coaching",IF(V72="Yes","Target performance coaching",IF(W72="Yes","Rebalance teaching workload","Maintain current teaching plan")))))</f>
        <v>Increase faculty training/coaching</v>
      </c>
    </row>
    <row r="73" customFormat="false" ht="15" hidden="false" customHeight="false" outlineLevel="0" collapsed="false">
      <c r="A73" s="22" t="str">
        <f aca="false">Source_Data!A73</f>
        <v>F072</v>
      </c>
      <c r="B73" s="22" t="str">
        <f aca="false">Source_Data!B73</f>
        <v>Faculty_72</v>
      </c>
      <c r="C73" s="22" t="str">
        <f aca="false">Source_Data!E73</f>
        <v>Economics</v>
      </c>
      <c r="D73" s="22" t="str">
        <f aca="false">Source_Data!F73</f>
        <v>Professor</v>
      </c>
      <c r="E73" s="22" t="str">
        <f aca="false">Source_Data!G73</f>
        <v>Part-time</v>
      </c>
      <c r="F73" s="22" t="str">
        <f aca="false">Source_Data!K73</f>
        <v>Data Analytics</v>
      </c>
      <c r="G73" s="23" t="n">
        <f aca="false">Source_Data!Z73</f>
        <v>30</v>
      </c>
      <c r="H73" s="24" t="n">
        <f aca="false">Source_Data!AV73</f>
        <v>4.26</v>
      </c>
      <c r="I73" s="23" t="n">
        <f aca="false">Source_Data!AW73</f>
        <v>95</v>
      </c>
      <c r="J73" s="23" t="n">
        <f aca="false">Source_Data!AX73</f>
        <v>89</v>
      </c>
      <c r="K73" s="24" t="n">
        <f aca="false">Source_Data!AY73</f>
        <v>4.36</v>
      </c>
      <c r="L73" s="24" t="n">
        <f aca="false">Source_Data!AZ73</f>
        <v>14</v>
      </c>
      <c r="M73" s="24" t="n">
        <f aca="false">Source_Data!AO73</f>
        <v>1</v>
      </c>
      <c r="N73" s="24" t="n">
        <f aca="false">Source_Data!AP73</f>
        <v>7</v>
      </c>
      <c r="O73" s="24" t="n">
        <f aca="false">Source_Data!AR73</f>
        <v>1</v>
      </c>
      <c r="P73" s="24" t="n">
        <f aca="false">Source_Data!AU73</f>
        <v>7</v>
      </c>
      <c r="Q73" s="25" t="str">
        <f aca="false">IF(H73&lt;Controls!$B$4,"Critical",IF(H73&lt;Controls!$B$5,"Needs Support",IF(H73&lt;Controls!$B$6,"Good","Excellent")))</f>
        <v>Good</v>
      </c>
      <c r="R73" s="25" t="str">
        <f aca="false">IF(G73&gt;Controls!$B$7,"High",IF(G73&lt;Controls!$B$8,"Low","Balanced"))</f>
        <v>Balanced</v>
      </c>
      <c r="S73" s="25" t="str">
        <f aca="false">IF(I73&lt;Controls!$B$9,"Yes","No")</f>
        <v>No</v>
      </c>
      <c r="T73" s="25" t="str">
        <f aca="false">IF(J73&lt;Controls!$B$10,"Yes","No")</f>
        <v>No</v>
      </c>
      <c r="U73" s="25" t="str">
        <f aca="false">IF(L73&lt;Controls!$B$11,"Yes","No")</f>
        <v>No</v>
      </c>
      <c r="V73" s="25" t="str">
        <f aca="false">IF(K73&lt;Controls!$B$12,"Yes","No")</f>
        <v>No</v>
      </c>
      <c r="W73" s="25" t="str">
        <f aca="false">IF(G73&gt;Controls!$B$7,"Yes","No")</f>
        <v>No</v>
      </c>
      <c r="X73" s="25" t="n">
        <f aca="false">COUNTIF(S73:W73,"Yes")</f>
        <v>0</v>
      </c>
      <c r="Y73" s="25" t="str">
        <f aca="false">IF(X73&gt;=3,"High",IF(X73=2,"Medium","Low"))</f>
        <v>Low</v>
      </c>
      <c r="Z73" s="25" t="str">
        <f aca="false">IF(S73="Yes","Improve student attendance support",IF(T73="Yes","Accelerate course completion support",IF(U73="Yes","Increase faculty training/coaching",IF(V73="Yes","Target performance coaching",IF(W73="Yes","Rebalance teaching workload","Maintain current teaching plan")))))</f>
        <v>Maintain current teaching plan</v>
      </c>
    </row>
    <row r="74" customFormat="false" ht="15" hidden="false" customHeight="false" outlineLevel="0" collapsed="false">
      <c r="A74" s="22" t="str">
        <f aca="false">Source_Data!A74</f>
        <v>F073</v>
      </c>
      <c r="B74" s="22" t="str">
        <f aca="false">Source_Data!B74</f>
        <v>Faculty_73</v>
      </c>
      <c r="C74" s="22" t="str">
        <f aca="false">Source_Data!E74</f>
        <v>Economics</v>
      </c>
      <c r="D74" s="22" t="str">
        <f aca="false">Source_Data!F74</f>
        <v>Lecturer</v>
      </c>
      <c r="E74" s="22" t="str">
        <f aca="false">Source_Data!G74</f>
        <v>Part-time</v>
      </c>
      <c r="F74" s="22" t="str">
        <f aca="false">Source_Data!K74</f>
        <v>Data Analytics</v>
      </c>
      <c r="G74" s="23" t="n">
        <f aca="false">Source_Data!Z74</f>
        <v>40</v>
      </c>
      <c r="H74" s="24" t="n">
        <f aca="false">Source_Data!AV74</f>
        <v>4.25</v>
      </c>
      <c r="I74" s="23" t="n">
        <f aca="false">Source_Data!AW74</f>
        <v>69</v>
      </c>
      <c r="J74" s="23" t="n">
        <f aca="false">Source_Data!AX74</f>
        <v>71</v>
      </c>
      <c r="K74" s="24" t="n">
        <f aca="false">Source_Data!AY74</f>
        <v>3.9</v>
      </c>
      <c r="L74" s="24" t="n">
        <f aca="false">Source_Data!AZ74</f>
        <v>6</v>
      </c>
      <c r="M74" s="24" t="n">
        <f aca="false">Source_Data!AO74</f>
        <v>5</v>
      </c>
      <c r="N74" s="24" t="n">
        <f aca="false">Source_Data!AP74</f>
        <v>2</v>
      </c>
      <c r="O74" s="24" t="n">
        <f aca="false">Source_Data!AR74</f>
        <v>2</v>
      </c>
      <c r="P74" s="24" t="n">
        <f aca="false">Source_Data!AU74</f>
        <v>7</v>
      </c>
      <c r="Q74" s="25" t="str">
        <f aca="false">IF(H74&lt;Controls!$B$4,"Critical",IF(H74&lt;Controls!$B$5,"Needs Support",IF(H74&lt;Controls!$B$6,"Good","Excellent")))</f>
        <v>Good</v>
      </c>
      <c r="R74" s="25" t="str">
        <f aca="false">IF(G74&gt;Controls!$B$7,"High",IF(G74&lt;Controls!$B$8,"Low","Balanced"))</f>
        <v>Balanced</v>
      </c>
      <c r="S74" s="25" t="str">
        <f aca="false">IF(I74&lt;Controls!$B$9,"Yes","No")</f>
        <v>Yes</v>
      </c>
      <c r="T74" s="25" t="str">
        <f aca="false">IF(J74&lt;Controls!$B$10,"Yes","No")</f>
        <v>Yes</v>
      </c>
      <c r="U74" s="25" t="str">
        <f aca="false">IF(L74&lt;Controls!$B$11,"Yes","No")</f>
        <v>Yes</v>
      </c>
      <c r="V74" s="25" t="str">
        <f aca="false">IF(K74&lt;Controls!$B$12,"Yes","No")</f>
        <v>Yes</v>
      </c>
      <c r="W74" s="25" t="str">
        <f aca="false">IF(G74&gt;Controls!$B$7,"Yes","No")</f>
        <v>No</v>
      </c>
      <c r="X74" s="25" t="n">
        <f aca="false">COUNTIF(S74:W74,"Yes")</f>
        <v>4</v>
      </c>
      <c r="Y74" s="25" t="str">
        <f aca="false">IF(X74&gt;=3,"High",IF(X74=2,"Medium","Low"))</f>
        <v>High</v>
      </c>
      <c r="Z74" s="25" t="str">
        <f aca="false">IF(S74="Yes","Improve student attendance support",IF(T74="Yes","Accelerate course completion support",IF(U74="Yes","Increase faculty training/coaching",IF(V74="Yes","Target performance coaching",IF(W74="Yes","Rebalance teaching workload","Maintain current teaching plan")))))</f>
        <v>Improve student attendance support</v>
      </c>
    </row>
    <row r="75" customFormat="false" ht="15" hidden="false" customHeight="false" outlineLevel="0" collapsed="false">
      <c r="A75" s="22" t="str">
        <f aca="false">Source_Data!A75</f>
        <v>F074</v>
      </c>
      <c r="B75" s="22" t="str">
        <f aca="false">Source_Data!B75</f>
        <v>Faculty_74</v>
      </c>
      <c r="C75" s="22" t="str">
        <f aca="false">Source_Data!E75</f>
        <v>Economics</v>
      </c>
      <c r="D75" s="22" t="str">
        <f aca="false">Source_Data!F75</f>
        <v>Lecturer</v>
      </c>
      <c r="E75" s="22" t="str">
        <f aca="false">Source_Data!G75</f>
        <v>Full-time</v>
      </c>
      <c r="F75" s="22" t="str">
        <f aca="false">Source_Data!K75</f>
        <v>Python Programming</v>
      </c>
      <c r="G75" s="23" t="n">
        <f aca="false">Source_Data!Z75</f>
        <v>15</v>
      </c>
      <c r="H75" s="24" t="n">
        <f aca="false">Source_Data!AV75</f>
        <v>4.72</v>
      </c>
      <c r="I75" s="23" t="n">
        <f aca="false">Source_Data!AW75</f>
        <v>90</v>
      </c>
      <c r="J75" s="23" t="n">
        <f aca="false">Source_Data!AX75</f>
        <v>89</v>
      </c>
      <c r="K75" s="24" t="n">
        <f aca="false">Source_Data!AY75</f>
        <v>4.58</v>
      </c>
      <c r="L75" s="24" t="n">
        <f aca="false">Source_Data!AZ75</f>
        <v>19</v>
      </c>
      <c r="M75" s="24" t="n">
        <f aca="false">Source_Data!AO75</f>
        <v>1</v>
      </c>
      <c r="N75" s="24" t="n">
        <f aca="false">Source_Data!AP75</f>
        <v>5</v>
      </c>
      <c r="O75" s="24" t="n">
        <f aca="false">Source_Data!AR75</f>
        <v>2</v>
      </c>
      <c r="P75" s="24" t="n">
        <f aca="false">Source_Data!AU75</f>
        <v>2</v>
      </c>
      <c r="Q75" s="25" t="str">
        <f aca="false">IF(H75&lt;Controls!$B$4,"Critical",IF(H75&lt;Controls!$B$5,"Needs Support",IF(H75&lt;Controls!$B$6,"Good","Excellent")))</f>
        <v>Excellent</v>
      </c>
      <c r="R75" s="25" t="str">
        <f aca="false">IF(G75&gt;Controls!$B$7,"High",IF(G75&lt;Controls!$B$8,"Low","Balanced"))</f>
        <v>Low</v>
      </c>
      <c r="S75" s="25" t="str">
        <f aca="false">IF(I75&lt;Controls!$B$9,"Yes","No")</f>
        <v>No</v>
      </c>
      <c r="T75" s="25" t="str">
        <f aca="false">IF(J75&lt;Controls!$B$10,"Yes","No")</f>
        <v>No</v>
      </c>
      <c r="U75" s="25" t="str">
        <f aca="false">IF(L75&lt;Controls!$B$11,"Yes","No")</f>
        <v>No</v>
      </c>
      <c r="V75" s="25" t="str">
        <f aca="false">IF(K75&lt;Controls!$B$12,"Yes","No")</f>
        <v>No</v>
      </c>
      <c r="W75" s="25" t="str">
        <f aca="false">IF(G75&gt;Controls!$B$7,"Yes","No")</f>
        <v>No</v>
      </c>
      <c r="X75" s="25" t="n">
        <f aca="false">COUNTIF(S75:W75,"Yes")</f>
        <v>0</v>
      </c>
      <c r="Y75" s="25" t="str">
        <f aca="false">IF(X75&gt;=3,"High",IF(X75=2,"Medium","Low"))</f>
        <v>Low</v>
      </c>
      <c r="Z75" s="25" t="str">
        <f aca="false">IF(S75="Yes","Improve student attendance support",IF(T75="Yes","Accelerate course completion support",IF(U75="Yes","Increase faculty training/coaching",IF(V75="Yes","Target performance coaching",IF(W75="Yes","Rebalance teaching workload","Maintain current teaching plan")))))</f>
        <v>Maintain current teaching plan</v>
      </c>
    </row>
    <row r="76" customFormat="false" ht="15" hidden="false" customHeight="false" outlineLevel="0" collapsed="false">
      <c r="A76" s="22" t="str">
        <f aca="false">Source_Data!A76</f>
        <v>F075</v>
      </c>
      <c r="B76" s="22" t="str">
        <f aca="false">Source_Data!B76</f>
        <v>Faculty_75</v>
      </c>
      <c r="C76" s="22" t="str">
        <f aca="false">Source_Data!E76</f>
        <v>Computer Science</v>
      </c>
      <c r="D76" s="22" t="str">
        <f aca="false">Source_Data!F76</f>
        <v>Professor</v>
      </c>
      <c r="E76" s="22" t="str">
        <f aca="false">Source_Data!G76</f>
        <v>Full-time</v>
      </c>
      <c r="F76" s="22" t="str">
        <f aca="false">Source_Data!K76</f>
        <v>Financial Management</v>
      </c>
      <c r="G76" s="23" t="n">
        <f aca="false">Source_Data!Z76</f>
        <v>40</v>
      </c>
      <c r="H76" s="24" t="n">
        <f aca="false">Source_Data!AV76</f>
        <v>4.3</v>
      </c>
      <c r="I76" s="23" t="n">
        <f aca="false">Source_Data!AW76</f>
        <v>80</v>
      </c>
      <c r="J76" s="23" t="n">
        <f aca="false">Source_Data!AX76</f>
        <v>73</v>
      </c>
      <c r="K76" s="24" t="n">
        <f aca="false">Source_Data!AY76</f>
        <v>3.97</v>
      </c>
      <c r="L76" s="24" t="n">
        <f aca="false">Source_Data!AZ76</f>
        <v>5</v>
      </c>
      <c r="M76" s="24" t="n">
        <f aca="false">Source_Data!AO76</f>
        <v>7</v>
      </c>
      <c r="N76" s="24" t="n">
        <f aca="false">Source_Data!AP76</f>
        <v>5</v>
      </c>
      <c r="O76" s="24" t="n">
        <f aca="false">Source_Data!AR76</f>
        <v>1</v>
      </c>
      <c r="P76" s="24" t="n">
        <f aca="false">Source_Data!AU76</f>
        <v>5</v>
      </c>
      <c r="Q76" s="25" t="str">
        <f aca="false">IF(H76&lt;Controls!$B$4,"Critical",IF(H76&lt;Controls!$B$5,"Needs Support",IF(H76&lt;Controls!$B$6,"Good","Excellent")))</f>
        <v>Good</v>
      </c>
      <c r="R76" s="25" t="str">
        <f aca="false">IF(G76&gt;Controls!$B$7,"High",IF(G76&lt;Controls!$B$8,"Low","Balanced"))</f>
        <v>Balanced</v>
      </c>
      <c r="S76" s="25" t="str">
        <f aca="false">IF(I76&lt;Controls!$B$9,"Yes","No")</f>
        <v>No</v>
      </c>
      <c r="T76" s="25" t="str">
        <f aca="false">IF(J76&lt;Controls!$B$10,"Yes","No")</f>
        <v>Yes</v>
      </c>
      <c r="U76" s="25" t="str">
        <f aca="false">IF(L76&lt;Controls!$B$11,"Yes","No")</f>
        <v>Yes</v>
      </c>
      <c r="V76" s="25" t="str">
        <f aca="false">IF(K76&lt;Controls!$B$12,"Yes","No")</f>
        <v>Yes</v>
      </c>
      <c r="W76" s="25" t="str">
        <f aca="false">IF(G76&gt;Controls!$B$7,"Yes","No")</f>
        <v>No</v>
      </c>
      <c r="X76" s="25" t="n">
        <f aca="false">COUNTIF(S76:W76,"Yes")</f>
        <v>3</v>
      </c>
      <c r="Y76" s="25" t="str">
        <f aca="false">IF(X76&gt;=3,"High",IF(X76=2,"Medium","Low"))</f>
        <v>High</v>
      </c>
      <c r="Z76" s="25" t="str">
        <f aca="false">IF(S76="Yes","Improve student attendance support",IF(T76="Yes","Accelerate course completion support",IF(U76="Yes","Increase faculty training/coaching",IF(V76="Yes","Target performance coaching",IF(W76="Yes","Rebalance teaching workload","Maintain current teaching plan")))))</f>
        <v>Accelerate course completion support</v>
      </c>
    </row>
    <row r="77" customFormat="false" ht="15" hidden="false" customHeight="false" outlineLevel="0" collapsed="false">
      <c r="A77" s="22" t="str">
        <f aca="false">Source_Data!A77</f>
        <v>F076</v>
      </c>
      <c r="B77" s="22" t="str">
        <f aca="false">Source_Data!B77</f>
        <v>Faculty_76</v>
      </c>
      <c r="C77" s="22" t="str">
        <f aca="false">Source_Data!E77</f>
        <v>Commerce</v>
      </c>
      <c r="D77" s="22" t="str">
        <f aca="false">Source_Data!F77</f>
        <v>Professor</v>
      </c>
      <c r="E77" s="22" t="str">
        <f aca="false">Source_Data!G77</f>
        <v>Full-time</v>
      </c>
      <c r="F77" s="22" t="str">
        <f aca="false">Source_Data!K77</f>
        <v>Financial Management</v>
      </c>
      <c r="G77" s="23" t="n">
        <f aca="false">Source_Data!Z77</f>
        <v>30</v>
      </c>
      <c r="H77" s="24" t="n">
        <f aca="false">Source_Data!AV77</f>
        <v>3.88</v>
      </c>
      <c r="I77" s="23" t="n">
        <f aca="false">Source_Data!AW77</f>
        <v>96</v>
      </c>
      <c r="J77" s="23" t="n">
        <f aca="false">Source_Data!AX77</f>
        <v>94</v>
      </c>
      <c r="K77" s="24" t="n">
        <f aca="false">Source_Data!AY77</f>
        <v>4.29</v>
      </c>
      <c r="L77" s="24" t="n">
        <f aca="false">Source_Data!AZ77</f>
        <v>3</v>
      </c>
      <c r="M77" s="24" t="n">
        <f aca="false">Source_Data!AO77</f>
        <v>3</v>
      </c>
      <c r="N77" s="24" t="n">
        <f aca="false">Source_Data!AP77</f>
        <v>7</v>
      </c>
      <c r="O77" s="24" t="n">
        <f aca="false">Source_Data!AR77</f>
        <v>2</v>
      </c>
      <c r="P77" s="24" t="n">
        <f aca="false">Source_Data!AU77</f>
        <v>0</v>
      </c>
      <c r="Q77" s="25" t="str">
        <f aca="false">IF(H77&lt;Controls!$B$4,"Critical",IF(H77&lt;Controls!$B$5,"Needs Support",IF(H77&lt;Controls!$B$6,"Good","Excellent")))</f>
        <v>Needs Support</v>
      </c>
      <c r="R77" s="25" t="str">
        <f aca="false">IF(G77&gt;Controls!$B$7,"High",IF(G77&lt;Controls!$B$8,"Low","Balanced"))</f>
        <v>Balanced</v>
      </c>
      <c r="S77" s="25" t="str">
        <f aca="false">IF(I77&lt;Controls!$B$9,"Yes","No")</f>
        <v>No</v>
      </c>
      <c r="T77" s="25" t="str">
        <f aca="false">IF(J77&lt;Controls!$B$10,"Yes","No")</f>
        <v>No</v>
      </c>
      <c r="U77" s="25" t="str">
        <f aca="false">IF(L77&lt;Controls!$B$11,"Yes","No")</f>
        <v>Yes</v>
      </c>
      <c r="V77" s="25" t="str">
        <f aca="false">IF(K77&lt;Controls!$B$12,"Yes","No")</f>
        <v>No</v>
      </c>
      <c r="W77" s="25" t="str">
        <f aca="false">IF(G77&gt;Controls!$B$7,"Yes","No")</f>
        <v>No</v>
      </c>
      <c r="X77" s="25" t="n">
        <f aca="false">COUNTIF(S77:W77,"Yes")</f>
        <v>1</v>
      </c>
      <c r="Y77" s="25" t="str">
        <f aca="false">IF(X77&gt;=3,"High",IF(X77=2,"Medium","Low"))</f>
        <v>Low</v>
      </c>
      <c r="Z77" s="25" t="str">
        <f aca="false">IF(S77="Yes","Improve student attendance support",IF(T77="Yes","Accelerate course completion support",IF(U77="Yes","Increase faculty training/coaching",IF(V77="Yes","Target performance coaching",IF(W77="Yes","Rebalance teaching workload","Maintain current teaching plan")))))</f>
        <v>Increase faculty training/coaching</v>
      </c>
    </row>
    <row r="78" customFormat="false" ht="15" hidden="false" customHeight="false" outlineLevel="0" collapsed="false">
      <c r="A78" s="22" t="str">
        <f aca="false">Source_Data!A78</f>
        <v>F077</v>
      </c>
      <c r="B78" s="22" t="str">
        <f aca="false">Source_Data!B78</f>
        <v>Faculty_77</v>
      </c>
      <c r="C78" s="22" t="str">
        <f aca="false">Source_Data!E78</f>
        <v>Economics</v>
      </c>
      <c r="D78" s="22" t="str">
        <f aca="false">Source_Data!F78</f>
        <v>Assistant Professor</v>
      </c>
      <c r="E78" s="22" t="str">
        <f aca="false">Source_Data!G78</f>
        <v>Part-time</v>
      </c>
      <c r="F78" s="22" t="str">
        <f aca="false">Source_Data!K78</f>
        <v>Marketing</v>
      </c>
      <c r="G78" s="23" t="n">
        <f aca="false">Source_Data!Z78</f>
        <v>40</v>
      </c>
      <c r="H78" s="24" t="n">
        <f aca="false">Source_Data!AV78</f>
        <v>3.63</v>
      </c>
      <c r="I78" s="23" t="n">
        <f aca="false">Source_Data!AW78</f>
        <v>86</v>
      </c>
      <c r="J78" s="23" t="n">
        <f aca="false">Source_Data!AX78</f>
        <v>73</v>
      </c>
      <c r="K78" s="24" t="n">
        <f aca="false">Source_Data!AY78</f>
        <v>3.64</v>
      </c>
      <c r="L78" s="24" t="n">
        <f aca="false">Source_Data!AZ78</f>
        <v>12</v>
      </c>
      <c r="M78" s="24" t="n">
        <f aca="false">Source_Data!AO78</f>
        <v>4</v>
      </c>
      <c r="N78" s="24" t="n">
        <f aca="false">Source_Data!AP78</f>
        <v>7</v>
      </c>
      <c r="O78" s="24" t="n">
        <f aca="false">Source_Data!AR78</f>
        <v>4</v>
      </c>
      <c r="P78" s="24" t="n">
        <f aca="false">Source_Data!AU78</f>
        <v>8</v>
      </c>
      <c r="Q78" s="25" t="str">
        <f aca="false">IF(H78&lt;Controls!$B$4,"Critical",IF(H78&lt;Controls!$B$5,"Needs Support",IF(H78&lt;Controls!$B$6,"Good","Excellent")))</f>
        <v>Needs Support</v>
      </c>
      <c r="R78" s="25" t="str">
        <f aca="false">IF(G78&gt;Controls!$B$7,"High",IF(G78&lt;Controls!$B$8,"Low","Balanced"))</f>
        <v>Balanced</v>
      </c>
      <c r="S78" s="25" t="str">
        <f aca="false">IF(I78&lt;Controls!$B$9,"Yes","No")</f>
        <v>No</v>
      </c>
      <c r="T78" s="25" t="str">
        <f aca="false">IF(J78&lt;Controls!$B$10,"Yes","No")</f>
        <v>Yes</v>
      </c>
      <c r="U78" s="25" t="str">
        <f aca="false">IF(L78&lt;Controls!$B$11,"Yes","No")</f>
        <v>No</v>
      </c>
      <c r="V78" s="25" t="str">
        <f aca="false">IF(K78&lt;Controls!$B$12,"Yes","No")</f>
        <v>Yes</v>
      </c>
      <c r="W78" s="25" t="str">
        <f aca="false">IF(G78&gt;Controls!$B$7,"Yes","No")</f>
        <v>No</v>
      </c>
      <c r="X78" s="25" t="n">
        <f aca="false">COUNTIF(S78:W78,"Yes")</f>
        <v>2</v>
      </c>
      <c r="Y78" s="25" t="str">
        <f aca="false">IF(X78&gt;=3,"High",IF(X78=2,"Medium","Low"))</f>
        <v>Medium</v>
      </c>
      <c r="Z78" s="25" t="str">
        <f aca="false">IF(S78="Yes","Improve student attendance support",IF(T78="Yes","Accelerate course completion support",IF(U78="Yes","Increase faculty training/coaching",IF(V78="Yes","Target performance coaching",IF(W78="Yes","Rebalance teaching workload","Maintain current teaching plan")))))</f>
        <v>Accelerate course completion support</v>
      </c>
    </row>
    <row r="79" customFormat="false" ht="15" hidden="false" customHeight="false" outlineLevel="0" collapsed="false">
      <c r="A79" s="22" t="str">
        <f aca="false">Source_Data!A79</f>
        <v>F078</v>
      </c>
      <c r="B79" s="22" t="str">
        <f aca="false">Source_Data!B79</f>
        <v>Faculty_78</v>
      </c>
      <c r="C79" s="22" t="str">
        <f aca="false">Source_Data!E79</f>
        <v>Management</v>
      </c>
      <c r="D79" s="22" t="str">
        <f aca="false">Source_Data!F79</f>
        <v>Professor</v>
      </c>
      <c r="E79" s="22" t="str">
        <f aca="false">Source_Data!G79</f>
        <v>Part-time</v>
      </c>
      <c r="F79" s="22" t="str">
        <f aca="false">Source_Data!K79</f>
        <v>Python Programming</v>
      </c>
      <c r="G79" s="23" t="n">
        <f aca="false">Source_Data!Z79</f>
        <v>25</v>
      </c>
      <c r="H79" s="24" t="n">
        <f aca="false">Source_Data!AV79</f>
        <v>4.53</v>
      </c>
      <c r="I79" s="23" t="n">
        <f aca="false">Source_Data!AW79</f>
        <v>83</v>
      </c>
      <c r="J79" s="23" t="n">
        <f aca="false">Source_Data!AX79</f>
        <v>70</v>
      </c>
      <c r="K79" s="24" t="n">
        <f aca="false">Source_Data!AY79</f>
        <v>4.02</v>
      </c>
      <c r="L79" s="24" t="n">
        <f aca="false">Source_Data!AZ79</f>
        <v>5</v>
      </c>
      <c r="M79" s="24" t="n">
        <f aca="false">Source_Data!AO79</f>
        <v>3</v>
      </c>
      <c r="N79" s="24" t="n">
        <f aca="false">Source_Data!AP79</f>
        <v>1</v>
      </c>
      <c r="O79" s="24" t="n">
        <f aca="false">Source_Data!AR79</f>
        <v>5</v>
      </c>
      <c r="P79" s="24" t="n">
        <f aca="false">Source_Data!AU79</f>
        <v>4</v>
      </c>
      <c r="Q79" s="25" t="str">
        <f aca="false">IF(H79&lt;Controls!$B$4,"Critical",IF(H79&lt;Controls!$B$5,"Needs Support",IF(H79&lt;Controls!$B$6,"Good","Excellent")))</f>
        <v>Excellent</v>
      </c>
      <c r="R79" s="25" t="str">
        <f aca="false">IF(G79&gt;Controls!$B$7,"High",IF(G79&lt;Controls!$B$8,"Low","Balanced"))</f>
        <v>Balanced</v>
      </c>
      <c r="S79" s="25" t="str">
        <f aca="false">IF(I79&lt;Controls!$B$9,"Yes","No")</f>
        <v>No</v>
      </c>
      <c r="T79" s="25" t="str">
        <f aca="false">IF(J79&lt;Controls!$B$10,"Yes","No")</f>
        <v>Yes</v>
      </c>
      <c r="U79" s="25" t="str">
        <f aca="false">IF(L79&lt;Controls!$B$11,"Yes","No")</f>
        <v>Yes</v>
      </c>
      <c r="V79" s="25" t="str">
        <f aca="false">IF(K79&lt;Controls!$B$12,"Yes","No")</f>
        <v>No</v>
      </c>
      <c r="W79" s="25" t="str">
        <f aca="false">IF(G79&gt;Controls!$B$7,"Yes","No")</f>
        <v>No</v>
      </c>
      <c r="X79" s="25" t="n">
        <f aca="false">COUNTIF(S79:W79,"Yes")</f>
        <v>2</v>
      </c>
      <c r="Y79" s="25" t="str">
        <f aca="false">IF(X79&gt;=3,"High",IF(X79=2,"Medium","Low"))</f>
        <v>Medium</v>
      </c>
      <c r="Z79" s="25" t="str">
        <f aca="false">IF(S79="Yes","Improve student attendance support",IF(T79="Yes","Accelerate course completion support",IF(U79="Yes","Increase faculty training/coaching",IF(V79="Yes","Target performance coaching",IF(W79="Yes","Rebalance teaching workload","Maintain current teaching plan")))))</f>
        <v>Accelerate course completion support</v>
      </c>
    </row>
    <row r="80" customFormat="false" ht="15" hidden="false" customHeight="false" outlineLevel="0" collapsed="false">
      <c r="A80" s="22" t="str">
        <f aca="false">Source_Data!A80</f>
        <v>F079</v>
      </c>
      <c r="B80" s="22" t="str">
        <f aca="false">Source_Data!B80</f>
        <v>Faculty_79</v>
      </c>
      <c r="C80" s="22" t="str">
        <f aca="false">Source_Data!E80</f>
        <v>Economics</v>
      </c>
      <c r="D80" s="22" t="str">
        <f aca="false">Source_Data!F80</f>
        <v>Professor</v>
      </c>
      <c r="E80" s="22" t="str">
        <f aca="false">Source_Data!G80</f>
        <v>Part-time</v>
      </c>
      <c r="F80" s="22" t="str">
        <f aca="false">Source_Data!K80</f>
        <v>Data Analytics</v>
      </c>
      <c r="G80" s="23" t="n">
        <f aca="false">Source_Data!Z80</f>
        <v>30</v>
      </c>
      <c r="H80" s="24" t="n">
        <f aca="false">Source_Data!AV80</f>
        <v>4.88</v>
      </c>
      <c r="I80" s="23" t="n">
        <f aca="false">Source_Data!AW80</f>
        <v>85</v>
      </c>
      <c r="J80" s="23" t="n">
        <f aca="false">Source_Data!AX80</f>
        <v>88</v>
      </c>
      <c r="K80" s="24" t="n">
        <f aca="false">Source_Data!AY80</f>
        <v>4.64</v>
      </c>
      <c r="L80" s="24" t="n">
        <f aca="false">Source_Data!AZ80</f>
        <v>11</v>
      </c>
      <c r="M80" s="24" t="n">
        <f aca="false">Source_Data!AO80</f>
        <v>0</v>
      </c>
      <c r="N80" s="24" t="n">
        <f aca="false">Source_Data!AP80</f>
        <v>1</v>
      </c>
      <c r="O80" s="24" t="n">
        <f aca="false">Source_Data!AR80</f>
        <v>1</v>
      </c>
      <c r="P80" s="24" t="n">
        <f aca="false">Source_Data!AU80</f>
        <v>4</v>
      </c>
      <c r="Q80" s="25" t="str">
        <f aca="false">IF(H80&lt;Controls!$B$4,"Critical",IF(H80&lt;Controls!$B$5,"Needs Support",IF(H80&lt;Controls!$B$6,"Good","Excellent")))</f>
        <v>Excellent</v>
      </c>
      <c r="R80" s="25" t="str">
        <f aca="false">IF(G80&gt;Controls!$B$7,"High",IF(G80&lt;Controls!$B$8,"Low","Balanced"))</f>
        <v>Balanced</v>
      </c>
      <c r="S80" s="25" t="str">
        <f aca="false">IF(I80&lt;Controls!$B$9,"Yes","No")</f>
        <v>No</v>
      </c>
      <c r="T80" s="25" t="str">
        <f aca="false">IF(J80&lt;Controls!$B$10,"Yes","No")</f>
        <v>No</v>
      </c>
      <c r="U80" s="25" t="str">
        <f aca="false">IF(L80&lt;Controls!$B$11,"Yes","No")</f>
        <v>No</v>
      </c>
      <c r="V80" s="25" t="str">
        <f aca="false">IF(K80&lt;Controls!$B$12,"Yes","No")</f>
        <v>No</v>
      </c>
      <c r="W80" s="25" t="str">
        <f aca="false">IF(G80&gt;Controls!$B$7,"Yes","No")</f>
        <v>No</v>
      </c>
      <c r="X80" s="25" t="n">
        <f aca="false">COUNTIF(S80:W80,"Yes")</f>
        <v>0</v>
      </c>
      <c r="Y80" s="25" t="str">
        <f aca="false">IF(X80&gt;=3,"High",IF(X80=2,"Medium","Low"))</f>
        <v>Low</v>
      </c>
      <c r="Z80" s="25" t="str">
        <f aca="false">IF(S80="Yes","Improve student attendance support",IF(T80="Yes","Accelerate course completion support",IF(U80="Yes","Increase faculty training/coaching",IF(V80="Yes","Target performance coaching",IF(W80="Yes","Rebalance teaching workload","Maintain current teaching plan")))))</f>
        <v>Maintain current teaching plan</v>
      </c>
    </row>
    <row r="81" customFormat="false" ht="15" hidden="false" customHeight="false" outlineLevel="0" collapsed="false">
      <c r="A81" s="22" t="str">
        <f aca="false">Source_Data!A81</f>
        <v>F080</v>
      </c>
      <c r="B81" s="22" t="str">
        <f aca="false">Source_Data!B81</f>
        <v>Faculty_80</v>
      </c>
      <c r="C81" s="22" t="str">
        <f aca="false">Source_Data!E81</f>
        <v>Computer Science</v>
      </c>
      <c r="D81" s="22" t="str">
        <f aca="false">Source_Data!F81</f>
        <v>Lecturer</v>
      </c>
      <c r="E81" s="22" t="str">
        <f aca="false">Source_Data!G81</f>
        <v>Full-time</v>
      </c>
      <c r="F81" s="22" t="str">
        <f aca="false">Source_Data!K81</f>
        <v>Python Programming</v>
      </c>
      <c r="G81" s="23" t="n">
        <f aca="false">Source_Data!Z81</f>
        <v>45</v>
      </c>
      <c r="H81" s="24" t="n">
        <f aca="false">Source_Data!AV81</f>
        <v>3.24</v>
      </c>
      <c r="I81" s="23" t="n">
        <f aca="false">Source_Data!AW81</f>
        <v>88</v>
      </c>
      <c r="J81" s="23" t="n">
        <f aca="false">Source_Data!AX81</f>
        <v>83</v>
      </c>
      <c r="K81" s="24" t="n">
        <f aca="false">Source_Data!AY81</f>
        <v>3.7</v>
      </c>
      <c r="L81" s="24" t="n">
        <f aca="false">Source_Data!AZ81</f>
        <v>3</v>
      </c>
      <c r="M81" s="24" t="n">
        <f aca="false">Source_Data!AO81</f>
        <v>0</v>
      </c>
      <c r="N81" s="24" t="n">
        <f aca="false">Source_Data!AP81</f>
        <v>3</v>
      </c>
      <c r="O81" s="24" t="n">
        <f aca="false">Source_Data!AR81</f>
        <v>2</v>
      </c>
      <c r="P81" s="24" t="n">
        <f aca="false">Source_Data!AU81</f>
        <v>8</v>
      </c>
      <c r="Q81" s="25" t="str">
        <f aca="false">IF(H81&lt;Controls!$B$4,"Critical",IF(H81&lt;Controls!$B$5,"Needs Support",IF(H81&lt;Controls!$B$6,"Good","Excellent")))</f>
        <v>Critical</v>
      </c>
      <c r="R81" s="25" t="str">
        <f aca="false">IF(G81&gt;Controls!$B$7,"High",IF(G81&lt;Controls!$B$8,"Low","Balanced"))</f>
        <v>High</v>
      </c>
      <c r="S81" s="25" t="str">
        <f aca="false">IF(I81&lt;Controls!$B$9,"Yes","No")</f>
        <v>No</v>
      </c>
      <c r="T81" s="25" t="str">
        <f aca="false">IF(J81&lt;Controls!$B$10,"Yes","No")</f>
        <v>No</v>
      </c>
      <c r="U81" s="25" t="str">
        <f aca="false">IF(L81&lt;Controls!$B$11,"Yes","No")</f>
        <v>Yes</v>
      </c>
      <c r="V81" s="25" t="str">
        <f aca="false">IF(K81&lt;Controls!$B$12,"Yes","No")</f>
        <v>Yes</v>
      </c>
      <c r="W81" s="25" t="str">
        <f aca="false">IF(G81&gt;Controls!$B$7,"Yes","No")</f>
        <v>Yes</v>
      </c>
      <c r="X81" s="25" t="n">
        <f aca="false">COUNTIF(S81:W81,"Yes")</f>
        <v>3</v>
      </c>
      <c r="Y81" s="25" t="str">
        <f aca="false">IF(X81&gt;=3,"High",IF(X81=2,"Medium","Low"))</f>
        <v>High</v>
      </c>
      <c r="Z81" s="25" t="str">
        <f aca="false">IF(S81="Yes","Improve student attendance support",IF(T81="Yes","Accelerate course completion support",IF(U81="Yes","Increase faculty training/coaching",IF(V81="Yes","Target performance coaching",IF(W81="Yes","Rebalance teaching workload","Maintain current teaching plan")))))</f>
        <v>Increase faculty training/coaching</v>
      </c>
    </row>
    <row r="82" customFormat="false" ht="15" hidden="false" customHeight="false" outlineLevel="0" collapsed="false">
      <c r="A82" s="22" t="str">
        <f aca="false">Source_Data!A82</f>
        <v>F081</v>
      </c>
      <c r="B82" s="22" t="str">
        <f aca="false">Source_Data!B82</f>
        <v>Faculty_81</v>
      </c>
      <c r="C82" s="22" t="str">
        <f aca="false">Source_Data!E82</f>
        <v>Management</v>
      </c>
      <c r="D82" s="22" t="str">
        <f aca="false">Source_Data!F82</f>
        <v>Professor</v>
      </c>
      <c r="E82" s="22" t="str">
        <f aca="false">Source_Data!G82</f>
        <v>Part-time</v>
      </c>
      <c r="F82" s="22" t="str">
        <f aca="false">Source_Data!K82</f>
        <v>Business Statistics</v>
      </c>
      <c r="G82" s="23" t="n">
        <f aca="false">Source_Data!Z82</f>
        <v>30</v>
      </c>
      <c r="H82" s="24" t="n">
        <f aca="false">Source_Data!AV82</f>
        <v>3.18</v>
      </c>
      <c r="I82" s="23" t="n">
        <f aca="false">Source_Data!AW82</f>
        <v>69</v>
      </c>
      <c r="J82" s="23" t="n">
        <f aca="false">Source_Data!AX82</f>
        <v>100</v>
      </c>
      <c r="K82" s="24" t="n">
        <f aca="false">Source_Data!AY82</f>
        <v>4.09</v>
      </c>
      <c r="L82" s="24" t="n">
        <f aca="false">Source_Data!AZ82</f>
        <v>11</v>
      </c>
      <c r="M82" s="24" t="n">
        <f aca="false">Source_Data!AO82</f>
        <v>2</v>
      </c>
      <c r="N82" s="24" t="n">
        <f aca="false">Source_Data!AP82</f>
        <v>2</v>
      </c>
      <c r="O82" s="24" t="n">
        <f aca="false">Source_Data!AR82</f>
        <v>5</v>
      </c>
      <c r="P82" s="24" t="n">
        <f aca="false">Source_Data!AU82</f>
        <v>4</v>
      </c>
      <c r="Q82" s="25" t="str">
        <f aca="false">IF(H82&lt;Controls!$B$4,"Critical",IF(H82&lt;Controls!$B$5,"Needs Support",IF(H82&lt;Controls!$B$6,"Good","Excellent")))</f>
        <v>Critical</v>
      </c>
      <c r="R82" s="25" t="str">
        <f aca="false">IF(G82&gt;Controls!$B$7,"High",IF(G82&lt;Controls!$B$8,"Low","Balanced"))</f>
        <v>Balanced</v>
      </c>
      <c r="S82" s="25" t="str">
        <f aca="false">IF(I82&lt;Controls!$B$9,"Yes","No")</f>
        <v>Yes</v>
      </c>
      <c r="T82" s="25" t="str">
        <f aca="false">IF(J82&lt;Controls!$B$10,"Yes","No")</f>
        <v>No</v>
      </c>
      <c r="U82" s="25" t="str">
        <f aca="false">IF(L82&lt;Controls!$B$11,"Yes","No")</f>
        <v>No</v>
      </c>
      <c r="V82" s="25" t="str">
        <f aca="false">IF(K82&lt;Controls!$B$12,"Yes","No")</f>
        <v>No</v>
      </c>
      <c r="W82" s="25" t="str">
        <f aca="false">IF(G82&gt;Controls!$B$7,"Yes","No")</f>
        <v>No</v>
      </c>
      <c r="X82" s="25" t="n">
        <f aca="false">COUNTIF(S82:W82,"Yes")</f>
        <v>1</v>
      </c>
      <c r="Y82" s="25" t="str">
        <f aca="false">IF(X82&gt;=3,"High",IF(X82=2,"Medium","Low"))</f>
        <v>Low</v>
      </c>
      <c r="Z82" s="25" t="str">
        <f aca="false">IF(S82="Yes","Improve student attendance support",IF(T82="Yes","Accelerate course completion support",IF(U82="Yes","Increase faculty training/coaching",IF(V82="Yes","Target performance coaching",IF(W82="Yes","Rebalance teaching workload","Maintain current teaching plan")))))</f>
        <v>Improve student attendance support</v>
      </c>
    </row>
    <row r="83" customFormat="false" ht="15" hidden="false" customHeight="false" outlineLevel="0" collapsed="false">
      <c r="A83" s="22" t="str">
        <f aca="false">Source_Data!A83</f>
        <v>F082</v>
      </c>
      <c r="B83" s="22" t="str">
        <f aca="false">Source_Data!B83</f>
        <v>Faculty_82</v>
      </c>
      <c r="C83" s="22" t="str">
        <f aca="false">Source_Data!E83</f>
        <v>Computer Science</v>
      </c>
      <c r="D83" s="22" t="str">
        <f aca="false">Source_Data!F83</f>
        <v>Lecturer</v>
      </c>
      <c r="E83" s="22" t="str">
        <f aca="false">Source_Data!G83</f>
        <v>Part-time</v>
      </c>
      <c r="F83" s="22" t="str">
        <f aca="false">Source_Data!K83</f>
        <v>Financial Management</v>
      </c>
      <c r="G83" s="23" t="n">
        <f aca="false">Source_Data!Z83</f>
        <v>25</v>
      </c>
      <c r="H83" s="24" t="n">
        <f aca="false">Source_Data!AV83</f>
        <v>3.43</v>
      </c>
      <c r="I83" s="23" t="n">
        <f aca="false">Source_Data!AW83</f>
        <v>99</v>
      </c>
      <c r="J83" s="23" t="n">
        <f aca="false">Source_Data!AX83</f>
        <v>89</v>
      </c>
      <c r="K83" s="24" t="n">
        <f aca="false">Source_Data!AY83</f>
        <v>3.94</v>
      </c>
      <c r="L83" s="24" t="n">
        <f aca="false">Source_Data!AZ83</f>
        <v>7</v>
      </c>
      <c r="M83" s="24" t="n">
        <f aca="false">Source_Data!AO83</f>
        <v>2</v>
      </c>
      <c r="N83" s="24" t="n">
        <f aca="false">Source_Data!AP83</f>
        <v>1</v>
      </c>
      <c r="O83" s="24" t="n">
        <f aca="false">Source_Data!AR83</f>
        <v>5</v>
      </c>
      <c r="P83" s="24" t="n">
        <f aca="false">Source_Data!AU83</f>
        <v>7</v>
      </c>
      <c r="Q83" s="25" t="str">
        <f aca="false">IF(H83&lt;Controls!$B$4,"Critical",IF(H83&lt;Controls!$B$5,"Needs Support",IF(H83&lt;Controls!$B$6,"Good","Excellent")))</f>
        <v>Critical</v>
      </c>
      <c r="R83" s="25" t="str">
        <f aca="false">IF(G83&gt;Controls!$B$7,"High",IF(G83&lt;Controls!$B$8,"Low","Balanced"))</f>
        <v>Balanced</v>
      </c>
      <c r="S83" s="25" t="str">
        <f aca="false">IF(I83&lt;Controls!$B$9,"Yes","No")</f>
        <v>No</v>
      </c>
      <c r="T83" s="25" t="str">
        <f aca="false">IF(J83&lt;Controls!$B$10,"Yes","No")</f>
        <v>No</v>
      </c>
      <c r="U83" s="25" t="str">
        <f aca="false">IF(L83&lt;Controls!$B$11,"Yes","No")</f>
        <v>Yes</v>
      </c>
      <c r="V83" s="25" t="str">
        <f aca="false">IF(K83&lt;Controls!$B$12,"Yes","No")</f>
        <v>Yes</v>
      </c>
      <c r="W83" s="25" t="str">
        <f aca="false">IF(G83&gt;Controls!$B$7,"Yes","No")</f>
        <v>No</v>
      </c>
      <c r="X83" s="25" t="n">
        <f aca="false">COUNTIF(S83:W83,"Yes")</f>
        <v>2</v>
      </c>
      <c r="Y83" s="25" t="str">
        <f aca="false">IF(X83&gt;=3,"High",IF(X83=2,"Medium","Low"))</f>
        <v>Medium</v>
      </c>
      <c r="Z83" s="25" t="str">
        <f aca="false">IF(S83="Yes","Improve student attendance support",IF(T83="Yes","Accelerate course completion support",IF(U83="Yes","Increase faculty training/coaching",IF(V83="Yes","Target performance coaching",IF(W83="Yes","Rebalance teaching workload","Maintain current teaching plan")))))</f>
        <v>Increase faculty training/coaching</v>
      </c>
    </row>
    <row r="84" customFormat="false" ht="15" hidden="false" customHeight="false" outlineLevel="0" collapsed="false">
      <c r="A84" s="22" t="str">
        <f aca="false">Source_Data!A84</f>
        <v>F083</v>
      </c>
      <c r="B84" s="22" t="str">
        <f aca="false">Source_Data!B84</f>
        <v>Faculty_83</v>
      </c>
      <c r="C84" s="22" t="str">
        <f aca="false">Source_Data!E84</f>
        <v>Mathematics</v>
      </c>
      <c r="D84" s="22" t="str">
        <f aca="false">Source_Data!F84</f>
        <v>Assistant Professor</v>
      </c>
      <c r="E84" s="22" t="str">
        <f aca="false">Source_Data!G84</f>
        <v>Full-time</v>
      </c>
      <c r="F84" s="22" t="str">
        <f aca="false">Source_Data!K84</f>
        <v>Marketing</v>
      </c>
      <c r="G84" s="23" t="n">
        <f aca="false">Source_Data!Z84</f>
        <v>50</v>
      </c>
      <c r="H84" s="24" t="n">
        <f aca="false">Source_Data!AV84</f>
        <v>4.92</v>
      </c>
      <c r="I84" s="23" t="n">
        <f aca="false">Source_Data!AW84</f>
        <v>83</v>
      </c>
      <c r="J84" s="23" t="n">
        <f aca="false">Source_Data!AX84</f>
        <v>83</v>
      </c>
      <c r="K84" s="24" t="n">
        <f aca="false">Source_Data!AY84</f>
        <v>4.54</v>
      </c>
      <c r="L84" s="24" t="n">
        <f aca="false">Source_Data!AZ84</f>
        <v>10</v>
      </c>
      <c r="M84" s="24" t="n">
        <f aca="false">Source_Data!AO84</f>
        <v>5</v>
      </c>
      <c r="N84" s="24" t="n">
        <f aca="false">Source_Data!AP84</f>
        <v>2</v>
      </c>
      <c r="O84" s="24" t="n">
        <f aca="false">Source_Data!AR84</f>
        <v>5</v>
      </c>
      <c r="P84" s="24" t="n">
        <f aca="false">Source_Data!AU84</f>
        <v>5</v>
      </c>
      <c r="Q84" s="25" t="str">
        <f aca="false">IF(H84&lt;Controls!$B$4,"Critical",IF(H84&lt;Controls!$B$5,"Needs Support",IF(H84&lt;Controls!$B$6,"Good","Excellent")))</f>
        <v>Excellent</v>
      </c>
      <c r="R84" s="25" t="str">
        <f aca="false">IF(G84&gt;Controls!$B$7,"High",IF(G84&lt;Controls!$B$8,"Low","Balanced"))</f>
        <v>High</v>
      </c>
      <c r="S84" s="25" t="str">
        <f aca="false">IF(I84&lt;Controls!$B$9,"Yes","No")</f>
        <v>No</v>
      </c>
      <c r="T84" s="25" t="str">
        <f aca="false">IF(J84&lt;Controls!$B$10,"Yes","No")</f>
        <v>No</v>
      </c>
      <c r="U84" s="25" t="str">
        <f aca="false">IF(L84&lt;Controls!$B$11,"Yes","No")</f>
        <v>No</v>
      </c>
      <c r="V84" s="25" t="str">
        <f aca="false">IF(K84&lt;Controls!$B$12,"Yes","No")</f>
        <v>No</v>
      </c>
      <c r="W84" s="25" t="str">
        <f aca="false">IF(G84&gt;Controls!$B$7,"Yes","No")</f>
        <v>Yes</v>
      </c>
      <c r="X84" s="25" t="n">
        <f aca="false">COUNTIF(S84:W84,"Yes")</f>
        <v>1</v>
      </c>
      <c r="Y84" s="25" t="str">
        <f aca="false">IF(X84&gt;=3,"High",IF(X84=2,"Medium","Low"))</f>
        <v>Low</v>
      </c>
      <c r="Z84" s="25" t="str">
        <f aca="false">IF(S84="Yes","Improve student attendance support",IF(T84="Yes","Accelerate course completion support",IF(U84="Yes","Increase faculty training/coaching",IF(V84="Yes","Target performance coaching",IF(W84="Yes","Rebalance teaching workload","Maintain current teaching plan")))))</f>
        <v>Rebalance teaching workload</v>
      </c>
    </row>
    <row r="85" customFormat="false" ht="15" hidden="false" customHeight="false" outlineLevel="0" collapsed="false">
      <c r="A85" s="22" t="str">
        <f aca="false">Source_Data!A85</f>
        <v>F084</v>
      </c>
      <c r="B85" s="22" t="str">
        <f aca="false">Source_Data!B85</f>
        <v>Faculty_84</v>
      </c>
      <c r="C85" s="22" t="str">
        <f aca="false">Source_Data!E85</f>
        <v>Economics</v>
      </c>
      <c r="D85" s="22" t="str">
        <f aca="false">Source_Data!F85</f>
        <v>Assistant Professor</v>
      </c>
      <c r="E85" s="22" t="str">
        <f aca="false">Source_Data!G85</f>
        <v>Visiting</v>
      </c>
      <c r="F85" s="22" t="str">
        <f aca="false">Source_Data!K85</f>
        <v>Business Statistics</v>
      </c>
      <c r="G85" s="23" t="n">
        <f aca="false">Source_Data!Z85</f>
        <v>35</v>
      </c>
      <c r="H85" s="24" t="n">
        <f aca="false">Source_Data!AV85</f>
        <v>4.37</v>
      </c>
      <c r="I85" s="23" t="n">
        <f aca="false">Source_Data!AW85</f>
        <v>68</v>
      </c>
      <c r="J85" s="23" t="n">
        <f aca="false">Source_Data!AX85</f>
        <v>84</v>
      </c>
      <c r="K85" s="24" t="n">
        <f aca="false">Source_Data!AY85</f>
        <v>4.29</v>
      </c>
      <c r="L85" s="24" t="n">
        <f aca="false">Source_Data!AZ85</f>
        <v>20</v>
      </c>
      <c r="M85" s="24" t="n">
        <f aca="false">Source_Data!AO85</f>
        <v>5</v>
      </c>
      <c r="N85" s="24" t="n">
        <f aca="false">Source_Data!AP85</f>
        <v>2</v>
      </c>
      <c r="O85" s="24" t="n">
        <f aca="false">Source_Data!AR85</f>
        <v>3</v>
      </c>
      <c r="P85" s="24" t="n">
        <f aca="false">Source_Data!AU85</f>
        <v>7</v>
      </c>
      <c r="Q85" s="25" t="str">
        <f aca="false">IF(H85&lt;Controls!$B$4,"Critical",IF(H85&lt;Controls!$B$5,"Needs Support",IF(H85&lt;Controls!$B$6,"Good","Excellent")))</f>
        <v>Good</v>
      </c>
      <c r="R85" s="25" t="str">
        <f aca="false">IF(G85&gt;Controls!$B$7,"High",IF(G85&lt;Controls!$B$8,"Low","Balanced"))</f>
        <v>Balanced</v>
      </c>
      <c r="S85" s="25" t="str">
        <f aca="false">IF(I85&lt;Controls!$B$9,"Yes","No")</f>
        <v>Yes</v>
      </c>
      <c r="T85" s="25" t="str">
        <f aca="false">IF(J85&lt;Controls!$B$10,"Yes","No")</f>
        <v>No</v>
      </c>
      <c r="U85" s="25" t="str">
        <f aca="false">IF(L85&lt;Controls!$B$11,"Yes","No")</f>
        <v>No</v>
      </c>
      <c r="V85" s="25" t="str">
        <f aca="false">IF(K85&lt;Controls!$B$12,"Yes","No")</f>
        <v>No</v>
      </c>
      <c r="W85" s="25" t="str">
        <f aca="false">IF(G85&gt;Controls!$B$7,"Yes","No")</f>
        <v>No</v>
      </c>
      <c r="X85" s="25" t="n">
        <f aca="false">COUNTIF(S85:W85,"Yes")</f>
        <v>1</v>
      </c>
      <c r="Y85" s="25" t="str">
        <f aca="false">IF(X85&gt;=3,"High",IF(X85=2,"Medium","Low"))</f>
        <v>Low</v>
      </c>
      <c r="Z85" s="25" t="str">
        <f aca="false">IF(S85="Yes","Improve student attendance support",IF(T85="Yes","Accelerate course completion support",IF(U85="Yes","Increase faculty training/coaching",IF(V85="Yes","Target performance coaching",IF(W85="Yes","Rebalance teaching workload","Maintain current teaching plan")))))</f>
        <v>Improve student attendance support</v>
      </c>
    </row>
    <row r="86" customFormat="false" ht="15" hidden="false" customHeight="false" outlineLevel="0" collapsed="false">
      <c r="A86" s="22" t="str">
        <f aca="false">Source_Data!A86</f>
        <v>F085</v>
      </c>
      <c r="B86" s="22" t="str">
        <f aca="false">Source_Data!B86</f>
        <v>Faculty_85</v>
      </c>
      <c r="C86" s="22" t="str">
        <f aca="false">Source_Data!E86</f>
        <v>Commerce</v>
      </c>
      <c r="D86" s="22" t="str">
        <f aca="false">Source_Data!F86</f>
        <v>Assistant Professor</v>
      </c>
      <c r="E86" s="22" t="str">
        <f aca="false">Source_Data!G86</f>
        <v>Full-time</v>
      </c>
      <c r="F86" s="22" t="str">
        <f aca="false">Source_Data!K86</f>
        <v>Financial Management</v>
      </c>
      <c r="G86" s="23" t="n">
        <f aca="false">Source_Data!Z86</f>
        <v>35</v>
      </c>
      <c r="H86" s="24" t="n">
        <f aca="false">Source_Data!AV86</f>
        <v>4.17</v>
      </c>
      <c r="I86" s="23" t="n">
        <f aca="false">Source_Data!AW86</f>
        <v>61</v>
      </c>
      <c r="J86" s="23" t="n">
        <f aca="false">Source_Data!AX86</f>
        <v>75</v>
      </c>
      <c r="K86" s="24" t="n">
        <f aca="false">Source_Data!AY86</f>
        <v>3.96</v>
      </c>
      <c r="L86" s="24" t="n">
        <f aca="false">Source_Data!AZ86</f>
        <v>2</v>
      </c>
      <c r="M86" s="24" t="n">
        <f aca="false">Source_Data!AO86</f>
        <v>6</v>
      </c>
      <c r="N86" s="24" t="n">
        <f aca="false">Source_Data!AP86</f>
        <v>1</v>
      </c>
      <c r="O86" s="24" t="n">
        <f aca="false">Source_Data!AR86</f>
        <v>0</v>
      </c>
      <c r="P86" s="24" t="n">
        <f aca="false">Source_Data!AU86</f>
        <v>1</v>
      </c>
      <c r="Q86" s="25" t="str">
        <f aca="false">IF(H86&lt;Controls!$B$4,"Critical",IF(H86&lt;Controls!$B$5,"Needs Support",IF(H86&lt;Controls!$B$6,"Good","Excellent")))</f>
        <v>Good</v>
      </c>
      <c r="R86" s="25" t="str">
        <f aca="false">IF(G86&gt;Controls!$B$7,"High",IF(G86&lt;Controls!$B$8,"Low","Balanced"))</f>
        <v>Balanced</v>
      </c>
      <c r="S86" s="25" t="str">
        <f aca="false">IF(I86&lt;Controls!$B$9,"Yes","No")</f>
        <v>Yes</v>
      </c>
      <c r="T86" s="25" t="str">
        <f aca="false">IF(J86&lt;Controls!$B$10,"Yes","No")</f>
        <v>Yes</v>
      </c>
      <c r="U86" s="25" t="str">
        <f aca="false">IF(L86&lt;Controls!$B$11,"Yes","No")</f>
        <v>Yes</v>
      </c>
      <c r="V86" s="25" t="str">
        <f aca="false">IF(K86&lt;Controls!$B$12,"Yes","No")</f>
        <v>Yes</v>
      </c>
      <c r="W86" s="25" t="str">
        <f aca="false">IF(G86&gt;Controls!$B$7,"Yes","No")</f>
        <v>No</v>
      </c>
      <c r="X86" s="25" t="n">
        <f aca="false">COUNTIF(S86:W86,"Yes")</f>
        <v>4</v>
      </c>
      <c r="Y86" s="25" t="str">
        <f aca="false">IF(X86&gt;=3,"High",IF(X86=2,"Medium","Low"))</f>
        <v>High</v>
      </c>
      <c r="Z86" s="25" t="str">
        <f aca="false">IF(S86="Yes","Improve student attendance support",IF(T86="Yes","Accelerate course completion support",IF(U86="Yes","Increase faculty training/coaching",IF(V86="Yes","Target performance coaching",IF(W86="Yes","Rebalance teaching workload","Maintain current teaching plan")))))</f>
        <v>Improve student attendance support</v>
      </c>
    </row>
    <row r="87" customFormat="false" ht="15" hidden="false" customHeight="false" outlineLevel="0" collapsed="false">
      <c r="A87" s="22" t="str">
        <f aca="false">Source_Data!A87</f>
        <v>F086</v>
      </c>
      <c r="B87" s="22" t="str">
        <f aca="false">Source_Data!B87</f>
        <v>Faculty_86</v>
      </c>
      <c r="C87" s="22" t="str">
        <f aca="false">Source_Data!E87</f>
        <v>Commerce</v>
      </c>
      <c r="D87" s="22" t="str">
        <f aca="false">Source_Data!F87</f>
        <v>Professor</v>
      </c>
      <c r="E87" s="22" t="str">
        <f aca="false">Source_Data!G87</f>
        <v>Part-time</v>
      </c>
      <c r="F87" s="22" t="str">
        <f aca="false">Source_Data!K87</f>
        <v>Marketing</v>
      </c>
      <c r="G87" s="23" t="n">
        <f aca="false">Source_Data!Z87</f>
        <v>40</v>
      </c>
      <c r="H87" s="24" t="n">
        <f aca="false">Source_Data!AV87</f>
        <v>3.24</v>
      </c>
      <c r="I87" s="23" t="n">
        <f aca="false">Source_Data!AW87</f>
        <v>64</v>
      </c>
      <c r="J87" s="23" t="n">
        <f aca="false">Source_Data!AX87</f>
        <v>78</v>
      </c>
      <c r="K87" s="24" t="n">
        <f aca="false">Source_Data!AY87</f>
        <v>3.57</v>
      </c>
      <c r="L87" s="24" t="n">
        <f aca="false">Source_Data!AZ87</f>
        <v>17</v>
      </c>
      <c r="M87" s="24" t="n">
        <f aca="false">Source_Data!AO87</f>
        <v>0</v>
      </c>
      <c r="N87" s="24" t="n">
        <f aca="false">Source_Data!AP87</f>
        <v>3</v>
      </c>
      <c r="O87" s="24" t="n">
        <f aca="false">Source_Data!AR87</f>
        <v>0</v>
      </c>
      <c r="P87" s="24" t="n">
        <f aca="false">Source_Data!AU87</f>
        <v>8</v>
      </c>
      <c r="Q87" s="25" t="str">
        <f aca="false">IF(H87&lt;Controls!$B$4,"Critical",IF(H87&lt;Controls!$B$5,"Needs Support",IF(H87&lt;Controls!$B$6,"Good","Excellent")))</f>
        <v>Critical</v>
      </c>
      <c r="R87" s="25" t="str">
        <f aca="false">IF(G87&gt;Controls!$B$7,"High",IF(G87&lt;Controls!$B$8,"Low","Balanced"))</f>
        <v>Balanced</v>
      </c>
      <c r="S87" s="25" t="str">
        <f aca="false">IF(I87&lt;Controls!$B$9,"Yes","No")</f>
        <v>Yes</v>
      </c>
      <c r="T87" s="25" t="str">
        <f aca="false">IF(J87&lt;Controls!$B$10,"Yes","No")</f>
        <v>Yes</v>
      </c>
      <c r="U87" s="25" t="str">
        <f aca="false">IF(L87&lt;Controls!$B$11,"Yes","No")</f>
        <v>No</v>
      </c>
      <c r="V87" s="25" t="str">
        <f aca="false">IF(K87&lt;Controls!$B$12,"Yes","No")</f>
        <v>Yes</v>
      </c>
      <c r="W87" s="25" t="str">
        <f aca="false">IF(G87&gt;Controls!$B$7,"Yes","No")</f>
        <v>No</v>
      </c>
      <c r="X87" s="25" t="n">
        <f aca="false">COUNTIF(S87:W87,"Yes")</f>
        <v>3</v>
      </c>
      <c r="Y87" s="25" t="str">
        <f aca="false">IF(X87&gt;=3,"High",IF(X87=2,"Medium","Low"))</f>
        <v>High</v>
      </c>
      <c r="Z87" s="25" t="str">
        <f aca="false">IF(S87="Yes","Improve student attendance support",IF(T87="Yes","Accelerate course completion support",IF(U87="Yes","Increase faculty training/coaching",IF(V87="Yes","Target performance coaching",IF(W87="Yes","Rebalance teaching workload","Maintain current teaching plan")))))</f>
        <v>Improve student attendance support</v>
      </c>
    </row>
    <row r="88" customFormat="false" ht="15" hidden="false" customHeight="false" outlineLevel="0" collapsed="false">
      <c r="A88" s="22" t="str">
        <f aca="false">Source_Data!A88</f>
        <v>F087</v>
      </c>
      <c r="B88" s="22" t="str">
        <f aca="false">Source_Data!B88</f>
        <v>Faculty_87</v>
      </c>
      <c r="C88" s="22" t="str">
        <f aca="false">Source_Data!E88</f>
        <v>Computer Science</v>
      </c>
      <c r="D88" s="22" t="str">
        <f aca="false">Source_Data!F88</f>
        <v>Lecturer</v>
      </c>
      <c r="E88" s="22" t="str">
        <f aca="false">Source_Data!G88</f>
        <v>Visiting</v>
      </c>
      <c r="F88" s="22" t="str">
        <f aca="false">Source_Data!K88</f>
        <v>Python Programming</v>
      </c>
      <c r="G88" s="23" t="n">
        <f aca="false">Source_Data!Z88</f>
        <v>25</v>
      </c>
      <c r="H88" s="24" t="n">
        <f aca="false">Source_Data!AV88</f>
        <v>4.64</v>
      </c>
      <c r="I88" s="23" t="n">
        <f aca="false">Source_Data!AW88</f>
        <v>82</v>
      </c>
      <c r="J88" s="23" t="n">
        <f aca="false">Source_Data!AX88</f>
        <v>72</v>
      </c>
      <c r="K88" s="24" t="n">
        <f aca="false">Source_Data!AY88</f>
        <v>4.12</v>
      </c>
      <c r="L88" s="24" t="n">
        <f aca="false">Source_Data!AZ88</f>
        <v>15</v>
      </c>
      <c r="M88" s="24" t="n">
        <f aca="false">Source_Data!AO88</f>
        <v>4</v>
      </c>
      <c r="N88" s="24" t="n">
        <f aca="false">Source_Data!AP88</f>
        <v>3</v>
      </c>
      <c r="O88" s="24" t="n">
        <f aca="false">Source_Data!AR88</f>
        <v>0</v>
      </c>
      <c r="P88" s="24" t="n">
        <f aca="false">Source_Data!AU88</f>
        <v>8</v>
      </c>
      <c r="Q88" s="25" t="str">
        <f aca="false">IF(H88&lt;Controls!$B$4,"Critical",IF(H88&lt;Controls!$B$5,"Needs Support",IF(H88&lt;Controls!$B$6,"Good","Excellent")))</f>
        <v>Excellent</v>
      </c>
      <c r="R88" s="25" t="str">
        <f aca="false">IF(G88&gt;Controls!$B$7,"High",IF(G88&lt;Controls!$B$8,"Low","Balanced"))</f>
        <v>Balanced</v>
      </c>
      <c r="S88" s="25" t="str">
        <f aca="false">IF(I88&lt;Controls!$B$9,"Yes","No")</f>
        <v>No</v>
      </c>
      <c r="T88" s="25" t="str">
        <f aca="false">IF(J88&lt;Controls!$B$10,"Yes","No")</f>
        <v>Yes</v>
      </c>
      <c r="U88" s="25" t="str">
        <f aca="false">IF(L88&lt;Controls!$B$11,"Yes","No")</f>
        <v>No</v>
      </c>
      <c r="V88" s="25" t="str">
        <f aca="false">IF(K88&lt;Controls!$B$12,"Yes","No")</f>
        <v>No</v>
      </c>
      <c r="W88" s="25" t="str">
        <f aca="false">IF(G88&gt;Controls!$B$7,"Yes","No")</f>
        <v>No</v>
      </c>
      <c r="X88" s="25" t="n">
        <f aca="false">COUNTIF(S88:W88,"Yes")</f>
        <v>1</v>
      </c>
      <c r="Y88" s="25" t="str">
        <f aca="false">IF(X88&gt;=3,"High",IF(X88=2,"Medium","Low"))</f>
        <v>Low</v>
      </c>
      <c r="Z88" s="25" t="str">
        <f aca="false">IF(S88="Yes","Improve student attendance support",IF(T88="Yes","Accelerate course completion support",IF(U88="Yes","Increase faculty training/coaching",IF(V88="Yes","Target performance coaching",IF(W88="Yes","Rebalance teaching workload","Maintain current teaching plan")))))</f>
        <v>Accelerate course completion support</v>
      </c>
    </row>
    <row r="89" customFormat="false" ht="15" hidden="false" customHeight="false" outlineLevel="0" collapsed="false">
      <c r="A89" s="22" t="str">
        <f aca="false">Source_Data!A89</f>
        <v>F088</v>
      </c>
      <c r="B89" s="22" t="str">
        <f aca="false">Source_Data!B89</f>
        <v>Faculty_88</v>
      </c>
      <c r="C89" s="22" t="str">
        <f aca="false">Source_Data!E89</f>
        <v>Economics</v>
      </c>
      <c r="D89" s="22" t="str">
        <f aca="false">Source_Data!F89</f>
        <v>Professor</v>
      </c>
      <c r="E89" s="22" t="str">
        <f aca="false">Source_Data!G89</f>
        <v>Visiting</v>
      </c>
      <c r="F89" s="22" t="str">
        <f aca="false">Source_Data!K89</f>
        <v>Marketing</v>
      </c>
      <c r="G89" s="23" t="n">
        <f aca="false">Source_Data!Z89</f>
        <v>40</v>
      </c>
      <c r="H89" s="24" t="n">
        <f aca="false">Source_Data!AV89</f>
        <v>3.18</v>
      </c>
      <c r="I89" s="23" t="n">
        <f aca="false">Source_Data!AW89</f>
        <v>63</v>
      </c>
      <c r="J89" s="23" t="n">
        <f aca="false">Source_Data!AX89</f>
        <v>74</v>
      </c>
      <c r="K89" s="24" t="n">
        <f aca="false">Source_Data!AY89</f>
        <v>3.44</v>
      </c>
      <c r="L89" s="24" t="n">
        <f aca="false">Source_Data!AZ89</f>
        <v>15</v>
      </c>
      <c r="M89" s="24" t="n">
        <f aca="false">Source_Data!AO89</f>
        <v>6</v>
      </c>
      <c r="N89" s="24" t="n">
        <f aca="false">Source_Data!AP89</f>
        <v>4</v>
      </c>
      <c r="O89" s="24" t="n">
        <f aca="false">Source_Data!AR89</f>
        <v>2</v>
      </c>
      <c r="P89" s="24" t="n">
        <f aca="false">Source_Data!AU89</f>
        <v>4</v>
      </c>
      <c r="Q89" s="25" t="str">
        <f aca="false">IF(H89&lt;Controls!$B$4,"Critical",IF(H89&lt;Controls!$B$5,"Needs Support",IF(H89&lt;Controls!$B$6,"Good","Excellent")))</f>
        <v>Critical</v>
      </c>
      <c r="R89" s="25" t="str">
        <f aca="false">IF(G89&gt;Controls!$B$7,"High",IF(G89&lt;Controls!$B$8,"Low","Balanced"))</f>
        <v>Balanced</v>
      </c>
      <c r="S89" s="25" t="str">
        <f aca="false">IF(I89&lt;Controls!$B$9,"Yes","No")</f>
        <v>Yes</v>
      </c>
      <c r="T89" s="25" t="str">
        <f aca="false">IF(J89&lt;Controls!$B$10,"Yes","No")</f>
        <v>Yes</v>
      </c>
      <c r="U89" s="25" t="str">
        <f aca="false">IF(L89&lt;Controls!$B$11,"Yes","No")</f>
        <v>No</v>
      </c>
      <c r="V89" s="25" t="str">
        <f aca="false">IF(K89&lt;Controls!$B$12,"Yes","No")</f>
        <v>Yes</v>
      </c>
      <c r="W89" s="25" t="str">
        <f aca="false">IF(G89&gt;Controls!$B$7,"Yes","No")</f>
        <v>No</v>
      </c>
      <c r="X89" s="25" t="n">
        <f aca="false">COUNTIF(S89:W89,"Yes")</f>
        <v>3</v>
      </c>
      <c r="Y89" s="25" t="str">
        <f aca="false">IF(X89&gt;=3,"High",IF(X89=2,"Medium","Low"))</f>
        <v>High</v>
      </c>
      <c r="Z89" s="25" t="str">
        <f aca="false">IF(S89="Yes","Improve student attendance support",IF(T89="Yes","Accelerate course completion support",IF(U89="Yes","Increase faculty training/coaching",IF(V89="Yes","Target performance coaching",IF(W89="Yes","Rebalance teaching workload","Maintain current teaching plan")))))</f>
        <v>Improve student attendance support</v>
      </c>
    </row>
    <row r="90" customFormat="false" ht="15" hidden="false" customHeight="false" outlineLevel="0" collapsed="false">
      <c r="A90" s="22" t="str">
        <f aca="false">Source_Data!A90</f>
        <v>F089</v>
      </c>
      <c r="B90" s="22" t="str">
        <f aca="false">Source_Data!B90</f>
        <v>Faculty_89</v>
      </c>
      <c r="C90" s="22" t="str">
        <f aca="false">Source_Data!E90</f>
        <v>Commerce</v>
      </c>
      <c r="D90" s="22" t="str">
        <f aca="false">Source_Data!F90</f>
        <v>Lecturer</v>
      </c>
      <c r="E90" s="22" t="str">
        <f aca="false">Source_Data!G90</f>
        <v>Visiting</v>
      </c>
      <c r="F90" s="22" t="str">
        <f aca="false">Source_Data!K90</f>
        <v>Data Analytics</v>
      </c>
      <c r="G90" s="23" t="n">
        <f aca="false">Source_Data!Z90</f>
        <v>30</v>
      </c>
      <c r="H90" s="24" t="n">
        <f aca="false">Source_Data!AV90</f>
        <v>3.99</v>
      </c>
      <c r="I90" s="23" t="n">
        <f aca="false">Source_Data!AW90</f>
        <v>80</v>
      </c>
      <c r="J90" s="23" t="n">
        <f aca="false">Source_Data!AX90</f>
        <v>100</v>
      </c>
      <c r="K90" s="24" t="n">
        <f aca="false">Source_Data!AY90</f>
        <v>4.5</v>
      </c>
      <c r="L90" s="24" t="n">
        <f aca="false">Source_Data!AZ90</f>
        <v>10</v>
      </c>
      <c r="M90" s="24" t="n">
        <f aca="false">Source_Data!AO90</f>
        <v>6</v>
      </c>
      <c r="N90" s="24" t="n">
        <f aca="false">Source_Data!AP90</f>
        <v>4</v>
      </c>
      <c r="O90" s="24" t="n">
        <f aca="false">Source_Data!AR90</f>
        <v>1</v>
      </c>
      <c r="P90" s="24" t="n">
        <f aca="false">Source_Data!AU90</f>
        <v>8</v>
      </c>
      <c r="Q90" s="25" t="str">
        <f aca="false">IF(H90&lt;Controls!$B$4,"Critical",IF(H90&lt;Controls!$B$5,"Needs Support",IF(H90&lt;Controls!$B$6,"Good","Excellent")))</f>
        <v>Needs Support</v>
      </c>
      <c r="R90" s="25" t="str">
        <f aca="false">IF(G90&gt;Controls!$B$7,"High",IF(G90&lt;Controls!$B$8,"Low","Balanced"))</f>
        <v>Balanced</v>
      </c>
      <c r="S90" s="25" t="str">
        <f aca="false">IF(I90&lt;Controls!$B$9,"Yes","No")</f>
        <v>No</v>
      </c>
      <c r="T90" s="25" t="str">
        <f aca="false">IF(J90&lt;Controls!$B$10,"Yes","No")</f>
        <v>No</v>
      </c>
      <c r="U90" s="25" t="str">
        <f aca="false">IF(L90&lt;Controls!$B$11,"Yes","No")</f>
        <v>No</v>
      </c>
      <c r="V90" s="25" t="str">
        <f aca="false">IF(K90&lt;Controls!$B$12,"Yes","No")</f>
        <v>No</v>
      </c>
      <c r="W90" s="25" t="str">
        <f aca="false">IF(G90&gt;Controls!$B$7,"Yes","No")</f>
        <v>No</v>
      </c>
      <c r="X90" s="25" t="n">
        <f aca="false">COUNTIF(S90:W90,"Yes")</f>
        <v>0</v>
      </c>
      <c r="Y90" s="25" t="str">
        <f aca="false">IF(X90&gt;=3,"High",IF(X90=2,"Medium","Low"))</f>
        <v>Low</v>
      </c>
      <c r="Z90" s="25" t="str">
        <f aca="false">IF(S90="Yes","Improve student attendance support",IF(T90="Yes","Accelerate course completion support",IF(U90="Yes","Increase faculty training/coaching",IF(V90="Yes","Target performance coaching",IF(W90="Yes","Rebalance teaching workload","Maintain current teaching plan")))))</f>
        <v>Maintain current teaching plan</v>
      </c>
    </row>
    <row r="91" customFormat="false" ht="15" hidden="false" customHeight="false" outlineLevel="0" collapsed="false">
      <c r="A91" s="22" t="str">
        <f aca="false">Source_Data!A91</f>
        <v>F090</v>
      </c>
      <c r="B91" s="22" t="str">
        <f aca="false">Source_Data!B91</f>
        <v>Faculty_90</v>
      </c>
      <c r="C91" s="22" t="str">
        <f aca="false">Source_Data!E91</f>
        <v>Economics</v>
      </c>
      <c r="D91" s="22" t="str">
        <f aca="false">Source_Data!F91</f>
        <v>Assistant Professor</v>
      </c>
      <c r="E91" s="22" t="str">
        <f aca="false">Source_Data!G91</f>
        <v>Full-time</v>
      </c>
      <c r="F91" s="22" t="str">
        <f aca="false">Source_Data!K91</f>
        <v>Marketing</v>
      </c>
      <c r="G91" s="23" t="n">
        <f aca="false">Source_Data!Z91</f>
        <v>20</v>
      </c>
      <c r="H91" s="24" t="n">
        <f aca="false">Source_Data!AV91</f>
        <v>3.95</v>
      </c>
      <c r="I91" s="23" t="n">
        <f aca="false">Source_Data!AW91</f>
        <v>82</v>
      </c>
      <c r="J91" s="23" t="n">
        <f aca="false">Source_Data!AX91</f>
        <v>76</v>
      </c>
      <c r="K91" s="24" t="n">
        <f aca="false">Source_Data!AY91</f>
        <v>3.88</v>
      </c>
      <c r="L91" s="24" t="n">
        <f aca="false">Source_Data!AZ91</f>
        <v>15</v>
      </c>
      <c r="M91" s="24" t="n">
        <f aca="false">Source_Data!AO91</f>
        <v>8</v>
      </c>
      <c r="N91" s="24" t="n">
        <f aca="false">Source_Data!AP91</f>
        <v>3</v>
      </c>
      <c r="O91" s="24" t="n">
        <f aca="false">Source_Data!AR91</f>
        <v>3</v>
      </c>
      <c r="P91" s="24" t="n">
        <f aca="false">Source_Data!AU91</f>
        <v>3</v>
      </c>
      <c r="Q91" s="25" t="str">
        <f aca="false">IF(H91&lt;Controls!$B$4,"Critical",IF(H91&lt;Controls!$B$5,"Needs Support",IF(H91&lt;Controls!$B$6,"Good","Excellent")))</f>
        <v>Needs Support</v>
      </c>
      <c r="R91" s="25" t="str">
        <f aca="false">IF(G91&gt;Controls!$B$7,"High",IF(G91&lt;Controls!$B$8,"Low","Balanced"))</f>
        <v>Low</v>
      </c>
      <c r="S91" s="25" t="str">
        <f aca="false">IF(I91&lt;Controls!$B$9,"Yes","No")</f>
        <v>No</v>
      </c>
      <c r="T91" s="25" t="str">
        <f aca="false">IF(J91&lt;Controls!$B$10,"Yes","No")</f>
        <v>Yes</v>
      </c>
      <c r="U91" s="25" t="str">
        <f aca="false">IF(L91&lt;Controls!$B$11,"Yes","No")</f>
        <v>No</v>
      </c>
      <c r="V91" s="25" t="str">
        <f aca="false">IF(K91&lt;Controls!$B$12,"Yes","No")</f>
        <v>Yes</v>
      </c>
      <c r="W91" s="25" t="str">
        <f aca="false">IF(G91&gt;Controls!$B$7,"Yes","No")</f>
        <v>No</v>
      </c>
      <c r="X91" s="25" t="n">
        <f aca="false">COUNTIF(S91:W91,"Yes")</f>
        <v>2</v>
      </c>
      <c r="Y91" s="25" t="str">
        <f aca="false">IF(X91&gt;=3,"High",IF(X91=2,"Medium","Low"))</f>
        <v>Medium</v>
      </c>
      <c r="Z91" s="25" t="str">
        <f aca="false">IF(S91="Yes","Improve student attendance support",IF(T91="Yes","Accelerate course completion support",IF(U91="Yes","Increase faculty training/coaching",IF(V91="Yes","Target performance coaching",IF(W91="Yes","Rebalance teaching workload","Maintain current teaching plan")))))</f>
        <v>Accelerate course completion support</v>
      </c>
    </row>
    <row r="92" customFormat="false" ht="15" hidden="false" customHeight="false" outlineLevel="0" collapsed="false">
      <c r="A92" s="22" t="str">
        <f aca="false">Source_Data!A92</f>
        <v>F091</v>
      </c>
      <c r="B92" s="22" t="str">
        <f aca="false">Source_Data!B92</f>
        <v>Faculty_91</v>
      </c>
      <c r="C92" s="22" t="str">
        <f aca="false">Source_Data!E92</f>
        <v>Commerce</v>
      </c>
      <c r="D92" s="22" t="str">
        <f aca="false">Source_Data!F92</f>
        <v>Assistant Professor</v>
      </c>
      <c r="E92" s="22" t="str">
        <f aca="false">Source_Data!G92</f>
        <v>Part-time</v>
      </c>
      <c r="F92" s="22" t="str">
        <f aca="false">Source_Data!K92</f>
        <v>Financial Management</v>
      </c>
      <c r="G92" s="23" t="n">
        <f aca="false">Source_Data!Z92</f>
        <v>15</v>
      </c>
      <c r="H92" s="24" t="n">
        <f aca="false">Source_Data!AV92</f>
        <v>4.58</v>
      </c>
      <c r="I92" s="23" t="n">
        <f aca="false">Source_Data!AW92</f>
        <v>75</v>
      </c>
      <c r="J92" s="23" t="n">
        <f aca="false">Source_Data!AX92</f>
        <v>72</v>
      </c>
      <c r="K92" s="24" t="n">
        <f aca="false">Source_Data!AY92</f>
        <v>4.09</v>
      </c>
      <c r="L92" s="24" t="n">
        <f aca="false">Source_Data!AZ92</f>
        <v>2</v>
      </c>
      <c r="M92" s="24" t="n">
        <f aca="false">Source_Data!AO92</f>
        <v>6</v>
      </c>
      <c r="N92" s="24" t="n">
        <f aca="false">Source_Data!AP92</f>
        <v>1</v>
      </c>
      <c r="O92" s="24" t="n">
        <f aca="false">Source_Data!AR92</f>
        <v>4</v>
      </c>
      <c r="P92" s="24" t="n">
        <f aca="false">Source_Data!AU92</f>
        <v>7</v>
      </c>
      <c r="Q92" s="25" t="str">
        <f aca="false">IF(H92&lt;Controls!$B$4,"Critical",IF(H92&lt;Controls!$B$5,"Needs Support",IF(H92&lt;Controls!$B$6,"Good","Excellent")))</f>
        <v>Excellent</v>
      </c>
      <c r="R92" s="25" t="str">
        <f aca="false">IF(G92&gt;Controls!$B$7,"High",IF(G92&lt;Controls!$B$8,"Low","Balanced"))</f>
        <v>Low</v>
      </c>
      <c r="S92" s="25" t="str">
        <f aca="false">IF(I92&lt;Controls!$B$9,"Yes","No")</f>
        <v>No</v>
      </c>
      <c r="T92" s="25" t="str">
        <f aca="false">IF(J92&lt;Controls!$B$10,"Yes","No")</f>
        <v>Yes</v>
      </c>
      <c r="U92" s="25" t="str">
        <f aca="false">IF(L92&lt;Controls!$B$11,"Yes","No")</f>
        <v>Yes</v>
      </c>
      <c r="V92" s="25" t="str">
        <f aca="false">IF(K92&lt;Controls!$B$12,"Yes","No")</f>
        <v>No</v>
      </c>
      <c r="W92" s="25" t="str">
        <f aca="false">IF(G92&gt;Controls!$B$7,"Yes","No")</f>
        <v>No</v>
      </c>
      <c r="X92" s="25" t="n">
        <f aca="false">COUNTIF(S92:W92,"Yes")</f>
        <v>2</v>
      </c>
      <c r="Y92" s="25" t="str">
        <f aca="false">IF(X92&gt;=3,"High",IF(X92=2,"Medium","Low"))</f>
        <v>Medium</v>
      </c>
      <c r="Z92" s="25" t="str">
        <f aca="false">IF(S92="Yes","Improve student attendance support",IF(T92="Yes","Accelerate course completion support",IF(U92="Yes","Increase faculty training/coaching",IF(V92="Yes","Target performance coaching",IF(W92="Yes","Rebalance teaching workload","Maintain current teaching plan")))))</f>
        <v>Accelerate course completion support</v>
      </c>
    </row>
    <row r="93" customFormat="false" ht="15" hidden="false" customHeight="false" outlineLevel="0" collapsed="false">
      <c r="A93" s="22" t="str">
        <f aca="false">Source_Data!A93</f>
        <v>F092</v>
      </c>
      <c r="B93" s="22" t="str">
        <f aca="false">Source_Data!B93</f>
        <v>Faculty_92</v>
      </c>
      <c r="C93" s="22" t="str">
        <f aca="false">Source_Data!E93</f>
        <v>Management</v>
      </c>
      <c r="D93" s="22" t="str">
        <f aca="false">Source_Data!F93</f>
        <v>Lecturer</v>
      </c>
      <c r="E93" s="22" t="str">
        <f aca="false">Source_Data!G93</f>
        <v>Full-time</v>
      </c>
      <c r="F93" s="22" t="str">
        <f aca="false">Source_Data!K93</f>
        <v>Python Programming</v>
      </c>
      <c r="G93" s="23" t="n">
        <f aca="false">Source_Data!Z93</f>
        <v>20</v>
      </c>
      <c r="H93" s="24" t="n">
        <f aca="false">Source_Data!AV93</f>
        <v>3.62</v>
      </c>
      <c r="I93" s="23" t="n">
        <f aca="false">Source_Data!AW93</f>
        <v>60</v>
      </c>
      <c r="J93" s="23" t="n">
        <f aca="false">Source_Data!AX93</f>
        <v>90</v>
      </c>
      <c r="K93" s="24" t="n">
        <f aca="false">Source_Data!AY93</f>
        <v>4.06</v>
      </c>
      <c r="L93" s="24" t="n">
        <f aca="false">Source_Data!AZ93</f>
        <v>4</v>
      </c>
      <c r="M93" s="24" t="n">
        <f aca="false">Source_Data!AO93</f>
        <v>9</v>
      </c>
      <c r="N93" s="24" t="n">
        <f aca="false">Source_Data!AP93</f>
        <v>0</v>
      </c>
      <c r="O93" s="24" t="n">
        <f aca="false">Source_Data!AR93</f>
        <v>5</v>
      </c>
      <c r="P93" s="24" t="n">
        <f aca="false">Source_Data!AU93</f>
        <v>1</v>
      </c>
      <c r="Q93" s="25" t="str">
        <f aca="false">IF(H93&lt;Controls!$B$4,"Critical",IF(H93&lt;Controls!$B$5,"Needs Support",IF(H93&lt;Controls!$B$6,"Good","Excellent")))</f>
        <v>Needs Support</v>
      </c>
      <c r="R93" s="25" t="str">
        <f aca="false">IF(G93&gt;Controls!$B$7,"High",IF(G93&lt;Controls!$B$8,"Low","Balanced"))</f>
        <v>Low</v>
      </c>
      <c r="S93" s="25" t="str">
        <f aca="false">IF(I93&lt;Controls!$B$9,"Yes","No")</f>
        <v>Yes</v>
      </c>
      <c r="T93" s="25" t="str">
        <f aca="false">IF(J93&lt;Controls!$B$10,"Yes","No")</f>
        <v>No</v>
      </c>
      <c r="U93" s="25" t="str">
        <f aca="false">IF(L93&lt;Controls!$B$11,"Yes","No")</f>
        <v>Yes</v>
      </c>
      <c r="V93" s="25" t="str">
        <f aca="false">IF(K93&lt;Controls!$B$12,"Yes","No")</f>
        <v>No</v>
      </c>
      <c r="W93" s="25" t="str">
        <f aca="false">IF(G93&gt;Controls!$B$7,"Yes","No")</f>
        <v>No</v>
      </c>
      <c r="X93" s="25" t="n">
        <f aca="false">COUNTIF(S93:W93,"Yes")</f>
        <v>2</v>
      </c>
      <c r="Y93" s="25" t="str">
        <f aca="false">IF(X93&gt;=3,"High",IF(X93=2,"Medium","Low"))</f>
        <v>Medium</v>
      </c>
      <c r="Z93" s="25" t="str">
        <f aca="false">IF(S93="Yes","Improve student attendance support",IF(T93="Yes","Accelerate course completion support",IF(U93="Yes","Increase faculty training/coaching",IF(V93="Yes","Target performance coaching",IF(W93="Yes","Rebalance teaching workload","Maintain current teaching plan")))))</f>
        <v>Improve student attendance support</v>
      </c>
    </row>
    <row r="94" customFormat="false" ht="15" hidden="false" customHeight="false" outlineLevel="0" collapsed="false">
      <c r="A94" s="22" t="str">
        <f aca="false">Source_Data!A94</f>
        <v>F093</v>
      </c>
      <c r="B94" s="22" t="str">
        <f aca="false">Source_Data!B94</f>
        <v>Faculty_93</v>
      </c>
      <c r="C94" s="22" t="str">
        <f aca="false">Source_Data!E94</f>
        <v>Economics</v>
      </c>
      <c r="D94" s="22" t="str">
        <f aca="false">Source_Data!F94</f>
        <v>Lecturer</v>
      </c>
      <c r="E94" s="22" t="str">
        <f aca="false">Source_Data!G94</f>
        <v>Part-time</v>
      </c>
      <c r="F94" s="22" t="str">
        <f aca="false">Source_Data!K94</f>
        <v>Business Statistics</v>
      </c>
      <c r="G94" s="23" t="n">
        <f aca="false">Source_Data!Z94</f>
        <v>45</v>
      </c>
      <c r="H94" s="24" t="n">
        <f aca="false">Source_Data!AV94</f>
        <v>4.96</v>
      </c>
      <c r="I94" s="23" t="n">
        <f aca="false">Source_Data!AW94</f>
        <v>67</v>
      </c>
      <c r="J94" s="23" t="n">
        <f aca="false">Source_Data!AX94</f>
        <v>90</v>
      </c>
      <c r="K94" s="24" t="n">
        <f aca="false">Source_Data!AY94</f>
        <v>4.73</v>
      </c>
      <c r="L94" s="24" t="n">
        <f aca="false">Source_Data!AZ94</f>
        <v>18</v>
      </c>
      <c r="M94" s="24" t="n">
        <f aca="false">Source_Data!AO94</f>
        <v>5</v>
      </c>
      <c r="N94" s="24" t="n">
        <f aca="false">Source_Data!AP94</f>
        <v>0</v>
      </c>
      <c r="O94" s="24" t="n">
        <f aca="false">Source_Data!AR94</f>
        <v>1</v>
      </c>
      <c r="P94" s="24" t="n">
        <f aca="false">Source_Data!AU94</f>
        <v>6</v>
      </c>
      <c r="Q94" s="25" t="str">
        <f aca="false">IF(H94&lt;Controls!$B$4,"Critical",IF(H94&lt;Controls!$B$5,"Needs Support",IF(H94&lt;Controls!$B$6,"Good","Excellent")))</f>
        <v>Excellent</v>
      </c>
      <c r="R94" s="25" t="str">
        <f aca="false">IF(G94&gt;Controls!$B$7,"High",IF(G94&lt;Controls!$B$8,"Low","Balanced"))</f>
        <v>High</v>
      </c>
      <c r="S94" s="25" t="str">
        <f aca="false">IF(I94&lt;Controls!$B$9,"Yes","No")</f>
        <v>Yes</v>
      </c>
      <c r="T94" s="25" t="str">
        <f aca="false">IF(J94&lt;Controls!$B$10,"Yes","No")</f>
        <v>No</v>
      </c>
      <c r="U94" s="25" t="str">
        <f aca="false">IF(L94&lt;Controls!$B$11,"Yes","No")</f>
        <v>No</v>
      </c>
      <c r="V94" s="25" t="str">
        <f aca="false">IF(K94&lt;Controls!$B$12,"Yes","No")</f>
        <v>No</v>
      </c>
      <c r="W94" s="25" t="str">
        <f aca="false">IF(G94&gt;Controls!$B$7,"Yes","No")</f>
        <v>Yes</v>
      </c>
      <c r="X94" s="25" t="n">
        <f aca="false">COUNTIF(S94:W94,"Yes")</f>
        <v>2</v>
      </c>
      <c r="Y94" s="25" t="str">
        <f aca="false">IF(X94&gt;=3,"High",IF(X94=2,"Medium","Low"))</f>
        <v>Medium</v>
      </c>
      <c r="Z94" s="25" t="str">
        <f aca="false">IF(S94="Yes","Improve student attendance support",IF(T94="Yes","Accelerate course completion support",IF(U94="Yes","Increase faculty training/coaching",IF(V94="Yes","Target performance coaching",IF(W94="Yes","Rebalance teaching workload","Maintain current teaching plan")))))</f>
        <v>Improve student attendance support</v>
      </c>
    </row>
    <row r="95" customFormat="false" ht="15" hidden="false" customHeight="false" outlineLevel="0" collapsed="false">
      <c r="A95" s="22" t="str">
        <f aca="false">Source_Data!A95</f>
        <v>F094</v>
      </c>
      <c r="B95" s="22" t="str">
        <f aca="false">Source_Data!B95</f>
        <v>Faculty_94</v>
      </c>
      <c r="C95" s="22" t="str">
        <f aca="false">Source_Data!E95</f>
        <v>Commerce</v>
      </c>
      <c r="D95" s="22" t="str">
        <f aca="false">Source_Data!F95</f>
        <v>Assistant Professor</v>
      </c>
      <c r="E95" s="22" t="str">
        <f aca="false">Source_Data!G95</f>
        <v>Visiting</v>
      </c>
      <c r="F95" s="22" t="str">
        <f aca="false">Source_Data!K95</f>
        <v>Business Statistics</v>
      </c>
      <c r="G95" s="23" t="n">
        <f aca="false">Source_Data!Z95</f>
        <v>35</v>
      </c>
      <c r="H95" s="24" t="n">
        <f aca="false">Source_Data!AV95</f>
        <v>4.08</v>
      </c>
      <c r="I95" s="23" t="n">
        <f aca="false">Source_Data!AW95</f>
        <v>67</v>
      </c>
      <c r="J95" s="23" t="n">
        <f aca="false">Source_Data!AX95</f>
        <v>77</v>
      </c>
      <c r="K95" s="24" t="n">
        <f aca="false">Source_Data!AY95</f>
        <v>3.96</v>
      </c>
      <c r="L95" s="24" t="n">
        <f aca="false">Source_Data!AZ95</f>
        <v>9</v>
      </c>
      <c r="M95" s="24" t="n">
        <f aca="false">Source_Data!AO95</f>
        <v>3</v>
      </c>
      <c r="N95" s="24" t="n">
        <f aca="false">Source_Data!AP95</f>
        <v>3</v>
      </c>
      <c r="O95" s="24" t="n">
        <f aca="false">Source_Data!AR95</f>
        <v>3</v>
      </c>
      <c r="P95" s="24" t="n">
        <f aca="false">Source_Data!AU95</f>
        <v>7</v>
      </c>
      <c r="Q95" s="25" t="str">
        <f aca="false">IF(H95&lt;Controls!$B$4,"Critical",IF(H95&lt;Controls!$B$5,"Needs Support",IF(H95&lt;Controls!$B$6,"Good","Excellent")))</f>
        <v>Good</v>
      </c>
      <c r="R95" s="25" t="str">
        <f aca="false">IF(G95&gt;Controls!$B$7,"High",IF(G95&lt;Controls!$B$8,"Low","Balanced"))</f>
        <v>Balanced</v>
      </c>
      <c r="S95" s="25" t="str">
        <f aca="false">IF(I95&lt;Controls!$B$9,"Yes","No")</f>
        <v>Yes</v>
      </c>
      <c r="T95" s="25" t="str">
        <f aca="false">IF(J95&lt;Controls!$B$10,"Yes","No")</f>
        <v>Yes</v>
      </c>
      <c r="U95" s="25" t="str">
        <f aca="false">IF(L95&lt;Controls!$B$11,"Yes","No")</f>
        <v>No</v>
      </c>
      <c r="V95" s="25" t="str">
        <f aca="false">IF(K95&lt;Controls!$B$12,"Yes","No")</f>
        <v>Yes</v>
      </c>
      <c r="W95" s="25" t="str">
        <f aca="false">IF(G95&gt;Controls!$B$7,"Yes","No")</f>
        <v>No</v>
      </c>
      <c r="X95" s="25" t="n">
        <f aca="false">COUNTIF(S95:W95,"Yes")</f>
        <v>3</v>
      </c>
      <c r="Y95" s="25" t="str">
        <f aca="false">IF(X95&gt;=3,"High",IF(X95=2,"Medium","Low"))</f>
        <v>High</v>
      </c>
      <c r="Z95" s="25" t="str">
        <f aca="false">IF(S95="Yes","Improve student attendance support",IF(T95="Yes","Accelerate course completion support",IF(U95="Yes","Increase faculty training/coaching",IF(V95="Yes","Target performance coaching",IF(W95="Yes","Rebalance teaching workload","Maintain current teaching plan")))))</f>
        <v>Improve student attendance support</v>
      </c>
    </row>
    <row r="96" customFormat="false" ht="15" hidden="false" customHeight="false" outlineLevel="0" collapsed="false">
      <c r="A96" s="22" t="str">
        <f aca="false">Source_Data!A96</f>
        <v>F095</v>
      </c>
      <c r="B96" s="22" t="str">
        <f aca="false">Source_Data!B96</f>
        <v>Faculty_95</v>
      </c>
      <c r="C96" s="22" t="str">
        <f aca="false">Source_Data!E96</f>
        <v>Economics</v>
      </c>
      <c r="D96" s="22" t="str">
        <f aca="false">Source_Data!F96</f>
        <v>Lecturer</v>
      </c>
      <c r="E96" s="22" t="str">
        <f aca="false">Source_Data!G96</f>
        <v>Full-time</v>
      </c>
      <c r="F96" s="22" t="str">
        <f aca="false">Source_Data!K96</f>
        <v>Marketing</v>
      </c>
      <c r="G96" s="23" t="n">
        <f aca="false">Source_Data!Z96</f>
        <v>30</v>
      </c>
      <c r="H96" s="24" t="n">
        <f aca="false">Source_Data!AV96</f>
        <v>3.64</v>
      </c>
      <c r="I96" s="23" t="n">
        <f aca="false">Source_Data!AW96</f>
        <v>62</v>
      </c>
      <c r="J96" s="23" t="n">
        <f aca="false">Source_Data!AX96</f>
        <v>89</v>
      </c>
      <c r="K96" s="24" t="n">
        <f aca="false">Source_Data!AY96</f>
        <v>4.04</v>
      </c>
      <c r="L96" s="24" t="n">
        <f aca="false">Source_Data!AZ96</f>
        <v>3</v>
      </c>
      <c r="M96" s="24" t="n">
        <f aca="false">Source_Data!AO96</f>
        <v>1</v>
      </c>
      <c r="N96" s="24" t="n">
        <f aca="false">Source_Data!AP96</f>
        <v>3</v>
      </c>
      <c r="O96" s="24" t="n">
        <f aca="false">Source_Data!AR96</f>
        <v>5</v>
      </c>
      <c r="P96" s="24" t="n">
        <f aca="false">Source_Data!AU96</f>
        <v>4</v>
      </c>
      <c r="Q96" s="25" t="str">
        <f aca="false">IF(H96&lt;Controls!$B$4,"Critical",IF(H96&lt;Controls!$B$5,"Needs Support",IF(H96&lt;Controls!$B$6,"Good","Excellent")))</f>
        <v>Needs Support</v>
      </c>
      <c r="R96" s="25" t="str">
        <f aca="false">IF(G96&gt;Controls!$B$7,"High",IF(G96&lt;Controls!$B$8,"Low","Balanced"))</f>
        <v>Balanced</v>
      </c>
      <c r="S96" s="25" t="str">
        <f aca="false">IF(I96&lt;Controls!$B$9,"Yes","No")</f>
        <v>Yes</v>
      </c>
      <c r="T96" s="25" t="str">
        <f aca="false">IF(J96&lt;Controls!$B$10,"Yes","No")</f>
        <v>No</v>
      </c>
      <c r="U96" s="25" t="str">
        <f aca="false">IF(L96&lt;Controls!$B$11,"Yes","No")</f>
        <v>Yes</v>
      </c>
      <c r="V96" s="25" t="str">
        <f aca="false">IF(K96&lt;Controls!$B$12,"Yes","No")</f>
        <v>No</v>
      </c>
      <c r="W96" s="25" t="str">
        <f aca="false">IF(G96&gt;Controls!$B$7,"Yes","No")</f>
        <v>No</v>
      </c>
      <c r="X96" s="25" t="n">
        <f aca="false">COUNTIF(S96:W96,"Yes")</f>
        <v>2</v>
      </c>
      <c r="Y96" s="25" t="str">
        <f aca="false">IF(X96&gt;=3,"High",IF(X96=2,"Medium","Low"))</f>
        <v>Medium</v>
      </c>
      <c r="Z96" s="25" t="str">
        <f aca="false">IF(S96="Yes","Improve student attendance support",IF(T96="Yes","Accelerate course completion support",IF(U96="Yes","Increase faculty training/coaching",IF(V96="Yes","Target performance coaching",IF(W96="Yes","Rebalance teaching workload","Maintain current teaching plan")))))</f>
        <v>Improve student attendance support</v>
      </c>
    </row>
    <row r="97" customFormat="false" ht="15" hidden="false" customHeight="false" outlineLevel="0" collapsed="false">
      <c r="A97" s="22" t="str">
        <f aca="false">Source_Data!A97</f>
        <v>F096</v>
      </c>
      <c r="B97" s="22" t="str">
        <f aca="false">Source_Data!B97</f>
        <v>Faculty_96</v>
      </c>
      <c r="C97" s="22" t="str">
        <f aca="false">Source_Data!E97</f>
        <v>Mathematics</v>
      </c>
      <c r="D97" s="22" t="str">
        <f aca="false">Source_Data!F97</f>
        <v>Professor</v>
      </c>
      <c r="E97" s="22" t="str">
        <f aca="false">Source_Data!G97</f>
        <v>Part-time</v>
      </c>
      <c r="F97" s="22" t="str">
        <f aca="false">Source_Data!K97</f>
        <v>Marketing</v>
      </c>
      <c r="G97" s="23" t="n">
        <f aca="false">Source_Data!Z97</f>
        <v>35</v>
      </c>
      <c r="H97" s="24" t="n">
        <f aca="false">Source_Data!AV97</f>
        <v>4.21</v>
      </c>
      <c r="I97" s="23" t="n">
        <f aca="false">Source_Data!AW97</f>
        <v>91</v>
      </c>
      <c r="J97" s="23" t="n">
        <f aca="false">Source_Data!AX97</f>
        <v>85</v>
      </c>
      <c r="K97" s="24" t="n">
        <f aca="false">Source_Data!AY97</f>
        <v>4.23</v>
      </c>
      <c r="L97" s="24" t="n">
        <f aca="false">Source_Data!AZ97</f>
        <v>10</v>
      </c>
      <c r="M97" s="24" t="n">
        <f aca="false">Source_Data!AO97</f>
        <v>7</v>
      </c>
      <c r="N97" s="24" t="n">
        <f aca="false">Source_Data!AP97</f>
        <v>5</v>
      </c>
      <c r="O97" s="24" t="n">
        <f aca="false">Source_Data!AR97</f>
        <v>3</v>
      </c>
      <c r="P97" s="24" t="n">
        <f aca="false">Source_Data!AU97</f>
        <v>3</v>
      </c>
      <c r="Q97" s="25" t="str">
        <f aca="false">IF(H97&lt;Controls!$B$4,"Critical",IF(H97&lt;Controls!$B$5,"Needs Support",IF(H97&lt;Controls!$B$6,"Good","Excellent")))</f>
        <v>Good</v>
      </c>
      <c r="R97" s="25" t="str">
        <f aca="false">IF(G97&gt;Controls!$B$7,"High",IF(G97&lt;Controls!$B$8,"Low","Balanced"))</f>
        <v>Balanced</v>
      </c>
      <c r="S97" s="25" t="str">
        <f aca="false">IF(I97&lt;Controls!$B$9,"Yes","No")</f>
        <v>No</v>
      </c>
      <c r="T97" s="25" t="str">
        <f aca="false">IF(J97&lt;Controls!$B$10,"Yes","No")</f>
        <v>No</v>
      </c>
      <c r="U97" s="25" t="str">
        <f aca="false">IF(L97&lt;Controls!$B$11,"Yes","No")</f>
        <v>No</v>
      </c>
      <c r="V97" s="25" t="str">
        <f aca="false">IF(K97&lt;Controls!$B$12,"Yes","No")</f>
        <v>No</v>
      </c>
      <c r="W97" s="25" t="str">
        <f aca="false">IF(G97&gt;Controls!$B$7,"Yes","No")</f>
        <v>No</v>
      </c>
      <c r="X97" s="25" t="n">
        <f aca="false">COUNTIF(S97:W97,"Yes")</f>
        <v>0</v>
      </c>
      <c r="Y97" s="25" t="str">
        <f aca="false">IF(X97&gt;=3,"High",IF(X97=2,"Medium","Low"))</f>
        <v>Low</v>
      </c>
      <c r="Z97" s="25" t="str">
        <f aca="false">IF(S97="Yes","Improve student attendance support",IF(T97="Yes","Accelerate course completion support",IF(U97="Yes","Increase faculty training/coaching",IF(V97="Yes","Target performance coaching",IF(W97="Yes","Rebalance teaching workload","Maintain current teaching plan")))))</f>
        <v>Maintain current teaching plan</v>
      </c>
    </row>
    <row r="98" customFormat="false" ht="15" hidden="false" customHeight="false" outlineLevel="0" collapsed="false">
      <c r="A98" s="22" t="str">
        <f aca="false">Source_Data!A98</f>
        <v>F097</v>
      </c>
      <c r="B98" s="22" t="str">
        <f aca="false">Source_Data!B98</f>
        <v>Faculty_97</v>
      </c>
      <c r="C98" s="22" t="str">
        <f aca="false">Source_Data!E98</f>
        <v>Mathematics</v>
      </c>
      <c r="D98" s="22" t="str">
        <f aca="false">Source_Data!F98</f>
        <v>Assistant Professor</v>
      </c>
      <c r="E98" s="22" t="str">
        <f aca="false">Source_Data!G98</f>
        <v>Visiting</v>
      </c>
      <c r="F98" s="22" t="str">
        <f aca="false">Source_Data!K98</f>
        <v>Business Statistics</v>
      </c>
      <c r="G98" s="23" t="n">
        <f aca="false">Source_Data!Z98</f>
        <v>45</v>
      </c>
      <c r="H98" s="24" t="n">
        <f aca="false">Source_Data!AV98</f>
        <v>3.61</v>
      </c>
      <c r="I98" s="23" t="n">
        <f aca="false">Source_Data!AW98</f>
        <v>85</v>
      </c>
      <c r="J98" s="23" t="n">
        <f aca="false">Source_Data!AX98</f>
        <v>91</v>
      </c>
      <c r="K98" s="24" t="n">
        <f aca="false">Source_Data!AY98</f>
        <v>4.08</v>
      </c>
      <c r="L98" s="24" t="n">
        <f aca="false">Source_Data!AZ98</f>
        <v>19</v>
      </c>
      <c r="M98" s="24" t="n">
        <f aca="false">Source_Data!AO98</f>
        <v>4</v>
      </c>
      <c r="N98" s="24" t="n">
        <f aca="false">Source_Data!AP98</f>
        <v>2</v>
      </c>
      <c r="O98" s="24" t="n">
        <f aca="false">Source_Data!AR98</f>
        <v>5</v>
      </c>
      <c r="P98" s="24" t="n">
        <f aca="false">Source_Data!AU98</f>
        <v>3</v>
      </c>
      <c r="Q98" s="25" t="str">
        <f aca="false">IF(H98&lt;Controls!$B$4,"Critical",IF(H98&lt;Controls!$B$5,"Needs Support",IF(H98&lt;Controls!$B$6,"Good","Excellent")))</f>
        <v>Needs Support</v>
      </c>
      <c r="R98" s="25" t="str">
        <f aca="false">IF(G98&gt;Controls!$B$7,"High",IF(G98&lt;Controls!$B$8,"Low","Balanced"))</f>
        <v>High</v>
      </c>
      <c r="S98" s="25" t="str">
        <f aca="false">IF(I98&lt;Controls!$B$9,"Yes","No")</f>
        <v>No</v>
      </c>
      <c r="T98" s="25" t="str">
        <f aca="false">IF(J98&lt;Controls!$B$10,"Yes","No")</f>
        <v>No</v>
      </c>
      <c r="U98" s="25" t="str">
        <f aca="false">IF(L98&lt;Controls!$B$11,"Yes","No")</f>
        <v>No</v>
      </c>
      <c r="V98" s="25" t="str">
        <f aca="false">IF(K98&lt;Controls!$B$12,"Yes","No")</f>
        <v>No</v>
      </c>
      <c r="W98" s="25" t="str">
        <f aca="false">IF(G98&gt;Controls!$B$7,"Yes","No")</f>
        <v>Yes</v>
      </c>
      <c r="X98" s="25" t="n">
        <f aca="false">COUNTIF(S98:W98,"Yes")</f>
        <v>1</v>
      </c>
      <c r="Y98" s="25" t="str">
        <f aca="false">IF(X98&gt;=3,"High",IF(X98=2,"Medium","Low"))</f>
        <v>Low</v>
      </c>
      <c r="Z98" s="25" t="str">
        <f aca="false">IF(S98="Yes","Improve student attendance support",IF(T98="Yes","Accelerate course completion support",IF(U98="Yes","Increase faculty training/coaching",IF(V98="Yes","Target performance coaching",IF(W98="Yes","Rebalance teaching workload","Maintain current teaching plan")))))</f>
        <v>Rebalance teaching workload</v>
      </c>
    </row>
    <row r="99" customFormat="false" ht="15" hidden="false" customHeight="false" outlineLevel="0" collapsed="false">
      <c r="A99" s="22" t="str">
        <f aca="false">Source_Data!A99</f>
        <v>F098</v>
      </c>
      <c r="B99" s="22" t="str">
        <f aca="false">Source_Data!B99</f>
        <v>Faculty_98</v>
      </c>
      <c r="C99" s="22" t="str">
        <f aca="false">Source_Data!E99</f>
        <v>Economics</v>
      </c>
      <c r="D99" s="22" t="str">
        <f aca="false">Source_Data!F99</f>
        <v>Professor</v>
      </c>
      <c r="E99" s="22" t="str">
        <f aca="false">Source_Data!G99</f>
        <v>Full-time</v>
      </c>
      <c r="F99" s="22" t="str">
        <f aca="false">Source_Data!K99</f>
        <v>Marketing</v>
      </c>
      <c r="G99" s="23" t="n">
        <f aca="false">Source_Data!Z99</f>
        <v>25</v>
      </c>
      <c r="H99" s="24" t="n">
        <f aca="false">Source_Data!AV99</f>
        <v>3.71</v>
      </c>
      <c r="I99" s="23" t="n">
        <f aca="false">Source_Data!AW99</f>
        <v>90</v>
      </c>
      <c r="J99" s="23" t="n">
        <f aca="false">Source_Data!AX99</f>
        <v>79</v>
      </c>
      <c r="K99" s="24" t="n">
        <f aca="false">Source_Data!AY99</f>
        <v>3.83</v>
      </c>
      <c r="L99" s="24" t="n">
        <f aca="false">Source_Data!AZ99</f>
        <v>20</v>
      </c>
      <c r="M99" s="24" t="n">
        <f aca="false">Source_Data!AO99</f>
        <v>2</v>
      </c>
      <c r="N99" s="24" t="n">
        <f aca="false">Source_Data!AP99</f>
        <v>7</v>
      </c>
      <c r="O99" s="24" t="n">
        <f aca="false">Source_Data!AR99</f>
        <v>5</v>
      </c>
      <c r="P99" s="24" t="n">
        <f aca="false">Source_Data!AU99</f>
        <v>5</v>
      </c>
      <c r="Q99" s="25" t="str">
        <f aca="false">IF(H99&lt;Controls!$B$4,"Critical",IF(H99&lt;Controls!$B$5,"Needs Support",IF(H99&lt;Controls!$B$6,"Good","Excellent")))</f>
        <v>Needs Support</v>
      </c>
      <c r="R99" s="25" t="str">
        <f aca="false">IF(G99&gt;Controls!$B$7,"High",IF(G99&lt;Controls!$B$8,"Low","Balanced"))</f>
        <v>Balanced</v>
      </c>
      <c r="S99" s="25" t="str">
        <f aca="false">IF(I99&lt;Controls!$B$9,"Yes","No")</f>
        <v>No</v>
      </c>
      <c r="T99" s="25" t="str">
        <f aca="false">IF(J99&lt;Controls!$B$10,"Yes","No")</f>
        <v>Yes</v>
      </c>
      <c r="U99" s="25" t="str">
        <f aca="false">IF(L99&lt;Controls!$B$11,"Yes","No")</f>
        <v>No</v>
      </c>
      <c r="V99" s="25" t="str">
        <f aca="false">IF(K99&lt;Controls!$B$12,"Yes","No")</f>
        <v>Yes</v>
      </c>
      <c r="W99" s="25" t="str">
        <f aca="false">IF(G99&gt;Controls!$B$7,"Yes","No")</f>
        <v>No</v>
      </c>
      <c r="X99" s="25" t="n">
        <f aca="false">COUNTIF(S99:W99,"Yes")</f>
        <v>2</v>
      </c>
      <c r="Y99" s="25" t="str">
        <f aca="false">IF(X99&gt;=3,"High",IF(X99=2,"Medium","Low"))</f>
        <v>Medium</v>
      </c>
      <c r="Z99" s="25" t="str">
        <f aca="false">IF(S99="Yes","Improve student attendance support",IF(T99="Yes","Accelerate course completion support",IF(U99="Yes","Increase faculty training/coaching",IF(V99="Yes","Target performance coaching",IF(W99="Yes","Rebalance teaching workload","Maintain current teaching plan")))))</f>
        <v>Accelerate course completion support</v>
      </c>
    </row>
    <row r="100" customFormat="false" ht="15" hidden="false" customHeight="false" outlineLevel="0" collapsed="false">
      <c r="A100" s="22" t="str">
        <f aca="false">Source_Data!A100</f>
        <v>F099</v>
      </c>
      <c r="B100" s="22" t="str">
        <f aca="false">Source_Data!B100</f>
        <v>Faculty_99</v>
      </c>
      <c r="C100" s="22" t="str">
        <f aca="false">Source_Data!E100</f>
        <v>Computer Science</v>
      </c>
      <c r="D100" s="22" t="str">
        <f aca="false">Source_Data!F100</f>
        <v>Professor</v>
      </c>
      <c r="E100" s="22" t="str">
        <f aca="false">Source_Data!G100</f>
        <v>Visiting</v>
      </c>
      <c r="F100" s="22" t="str">
        <f aca="false">Source_Data!K100</f>
        <v>Python Programming</v>
      </c>
      <c r="G100" s="23" t="n">
        <f aca="false">Source_Data!Z100</f>
        <v>35</v>
      </c>
      <c r="H100" s="24" t="n">
        <f aca="false">Source_Data!AV100</f>
        <v>3.32</v>
      </c>
      <c r="I100" s="23" t="n">
        <f aca="false">Source_Data!AW100</f>
        <v>64</v>
      </c>
      <c r="J100" s="23" t="n">
        <f aca="false">Source_Data!AX100</f>
        <v>75</v>
      </c>
      <c r="K100" s="24" t="n">
        <f aca="false">Source_Data!AY100</f>
        <v>3.54</v>
      </c>
      <c r="L100" s="24" t="n">
        <f aca="false">Source_Data!AZ100</f>
        <v>16</v>
      </c>
      <c r="M100" s="24" t="n">
        <f aca="false">Source_Data!AO100</f>
        <v>2</v>
      </c>
      <c r="N100" s="24" t="n">
        <f aca="false">Source_Data!AP100</f>
        <v>2</v>
      </c>
      <c r="O100" s="24" t="n">
        <f aca="false">Source_Data!AR100</f>
        <v>4</v>
      </c>
      <c r="P100" s="24" t="n">
        <f aca="false">Source_Data!AU100</f>
        <v>4</v>
      </c>
      <c r="Q100" s="25" t="str">
        <f aca="false">IF(H100&lt;Controls!$B$4,"Critical",IF(H100&lt;Controls!$B$5,"Needs Support",IF(H100&lt;Controls!$B$6,"Good","Excellent")))</f>
        <v>Critical</v>
      </c>
      <c r="R100" s="25" t="str">
        <f aca="false">IF(G100&gt;Controls!$B$7,"High",IF(G100&lt;Controls!$B$8,"Low","Balanced"))</f>
        <v>Balanced</v>
      </c>
      <c r="S100" s="25" t="str">
        <f aca="false">IF(I100&lt;Controls!$B$9,"Yes","No")</f>
        <v>Yes</v>
      </c>
      <c r="T100" s="25" t="str">
        <f aca="false">IF(J100&lt;Controls!$B$10,"Yes","No")</f>
        <v>Yes</v>
      </c>
      <c r="U100" s="25" t="str">
        <f aca="false">IF(L100&lt;Controls!$B$11,"Yes","No")</f>
        <v>No</v>
      </c>
      <c r="V100" s="25" t="str">
        <f aca="false">IF(K100&lt;Controls!$B$12,"Yes","No")</f>
        <v>Yes</v>
      </c>
      <c r="W100" s="25" t="str">
        <f aca="false">IF(G100&gt;Controls!$B$7,"Yes","No")</f>
        <v>No</v>
      </c>
      <c r="X100" s="25" t="n">
        <f aca="false">COUNTIF(S100:W100,"Yes")</f>
        <v>3</v>
      </c>
      <c r="Y100" s="25" t="str">
        <f aca="false">IF(X100&gt;=3,"High",IF(X100=2,"Medium","Low"))</f>
        <v>High</v>
      </c>
      <c r="Z100" s="25" t="str">
        <f aca="false">IF(S100="Yes","Improve student attendance support",IF(T100="Yes","Accelerate course completion support",IF(U100="Yes","Increase faculty training/coaching",IF(V100="Yes","Target performance coaching",IF(W100="Yes","Rebalance teaching workload","Maintain current teaching plan")))))</f>
        <v>Improve student attendance support</v>
      </c>
    </row>
    <row r="101" customFormat="false" ht="15" hidden="false" customHeight="false" outlineLevel="0" collapsed="false">
      <c r="A101" s="22" t="str">
        <f aca="false">Source_Data!A101</f>
        <v>F100</v>
      </c>
      <c r="B101" s="22" t="str">
        <f aca="false">Source_Data!B101</f>
        <v>Faculty_100</v>
      </c>
      <c r="C101" s="22" t="str">
        <f aca="false">Source_Data!E101</f>
        <v>Computer Science</v>
      </c>
      <c r="D101" s="22" t="str">
        <f aca="false">Source_Data!F101</f>
        <v>Lecturer</v>
      </c>
      <c r="E101" s="22" t="str">
        <f aca="false">Source_Data!G101</f>
        <v>Visiting</v>
      </c>
      <c r="F101" s="22" t="str">
        <f aca="false">Source_Data!K101</f>
        <v>Business Statistics</v>
      </c>
      <c r="G101" s="23" t="n">
        <f aca="false">Source_Data!Z101</f>
        <v>35</v>
      </c>
      <c r="H101" s="24" t="n">
        <f aca="false">Source_Data!AV101</f>
        <v>4.31</v>
      </c>
      <c r="I101" s="23" t="n">
        <f aca="false">Source_Data!AW101</f>
        <v>77</v>
      </c>
      <c r="J101" s="23" t="n">
        <f aca="false">Source_Data!AX101</f>
        <v>88</v>
      </c>
      <c r="K101" s="24" t="n">
        <f aca="false">Source_Data!AY101</f>
        <v>4.36</v>
      </c>
      <c r="L101" s="24" t="n">
        <f aca="false">Source_Data!AZ101</f>
        <v>8</v>
      </c>
      <c r="M101" s="24" t="n">
        <f aca="false">Source_Data!AO101</f>
        <v>2</v>
      </c>
      <c r="N101" s="24" t="n">
        <f aca="false">Source_Data!AP101</f>
        <v>1</v>
      </c>
      <c r="O101" s="24" t="n">
        <f aca="false">Source_Data!AR101</f>
        <v>0</v>
      </c>
      <c r="P101" s="24" t="n">
        <f aca="false">Source_Data!AU101</f>
        <v>3</v>
      </c>
      <c r="Q101" s="25" t="str">
        <f aca="false">IF(H101&lt;Controls!$B$4,"Critical",IF(H101&lt;Controls!$B$5,"Needs Support",IF(H101&lt;Controls!$B$6,"Good","Excellent")))</f>
        <v>Good</v>
      </c>
      <c r="R101" s="25" t="str">
        <f aca="false">IF(G101&gt;Controls!$B$7,"High",IF(G101&lt;Controls!$B$8,"Low","Balanced"))</f>
        <v>Balanced</v>
      </c>
      <c r="S101" s="25" t="str">
        <f aca="false">IF(I101&lt;Controls!$B$9,"Yes","No")</f>
        <v>No</v>
      </c>
      <c r="T101" s="25" t="str">
        <f aca="false">IF(J101&lt;Controls!$B$10,"Yes","No")</f>
        <v>No</v>
      </c>
      <c r="U101" s="25" t="str">
        <f aca="false">IF(L101&lt;Controls!$B$11,"Yes","No")</f>
        <v>No</v>
      </c>
      <c r="V101" s="25" t="str">
        <f aca="false">IF(K101&lt;Controls!$B$12,"Yes","No")</f>
        <v>No</v>
      </c>
      <c r="W101" s="25" t="str">
        <f aca="false">IF(G101&gt;Controls!$B$7,"Yes","No")</f>
        <v>No</v>
      </c>
      <c r="X101" s="25" t="n">
        <f aca="false">COUNTIF(S101:W101,"Yes")</f>
        <v>0</v>
      </c>
      <c r="Y101" s="25" t="str">
        <f aca="false">IF(X101&gt;=3,"High",IF(X101=2,"Medium","Low"))</f>
        <v>Low</v>
      </c>
      <c r="Z101" s="25" t="str">
        <f aca="false">IF(S101="Yes","Improve student attendance support",IF(T101="Yes","Accelerate course completion support",IF(U101="Yes","Increase faculty training/coaching",IF(V101="Yes","Target performance coaching",IF(W101="Yes","Rebalance teaching workload","Maintain current teaching plan")))))</f>
        <v>Maintain current teaching plan</v>
      </c>
    </row>
  </sheetData>
  <autoFilter ref="A2:Z101"/>
  <mergeCells count="1">
    <mergeCell ref="A1:Z1"/>
  </mergeCells>
  <conditionalFormatting sqref="H2:H101">
    <cfRule type="colorScale" priority="2">
      <colorScale>
        <cfvo type="num" val="3"/>
        <cfvo type="num" val="4"/>
        <cfvo type="num" val="5"/>
        <color rgb="FFF8696B"/>
        <color rgb="FFFFEB84"/>
        <color rgb="FF63BE7B"/>
      </colorScale>
    </cfRule>
  </conditionalFormatting>
  <conditionalFormatting sqref="K2:K101">
    <cfRule type="colorScale" priority="3">
      <colorScale>
        <cfvo type="num" val="3"/>
        <cfvo type="num" val="4"/>
        <cfvo type="num" val="5"/>
        <color rgb="FFF8696B"/>
        <color rgb="FFFFEB84"/>
        <color rgb="FF63BE7B"/>
      </colorScale>
    </cfRule>
  </conditionalFormatting>
  <conditionalFormatting sqref="S2:S101">
    <cfRule type="cellIs" priority="4" operator="equal" aboveAverage="0" equalAverage="0" bottom="0" percent="0" rank="0" text="" dxfId="119">
      <formula>"Yes"</formula>
    </cfRule>
  </conditionalFormatting>
  <conditionalFormatting sqref="T2:T101">
    <cfRule type="cellIs" priority="5" operator="equal" aboveAverage="0" equalAverage="0" bottom="0" percent="0" rank="0" text="" dxfId="119">
      <formula>"Yes"</formula>
    </cfRule>
  </conditionalFormatting>
  <conditionalFormatting sqref="U2:U101">
    <cfRule type="cellIs" priority="6" operator="equal" aboveAverage="0" equalAverage="0" bottom="0" percent="0" rank="0" text="" dxfId="119">
      <formula>"Yes"</formula>
    </cfRule>
  </conditionalFormatting>
  <conditionalFormatting sqref="V2:V101">
    <cfRule type="cellIs" priority="7" operator="equal" aboveAverage="0" equalAverage="0" bottom="0" percent="0" rank="0" text="" dxfId="119">
      <formula>"Yes"</formula>
    </cfRule>
  </conditionalFormatting>
  <conditionalFormatting sqref="W2:W101">
    <cfRule type="cellIs" priority="8" operator="equal" aboveAverage="0" equalAverage="0" bottom="0" percent="0" rank="0" text="" dxfId="119">
      <formula>"Yes"</formula>
    </cfRule>
  </conditionalFormatting>
  <conditionalFormatting sqref="Y2:Y101">
    <cfRule type="cellIs" priority="9" operator="equal" aboveAverage="0" equalAverage="0" bottom="0" percent="0" rank="0" text="" dxfId="120">
      <formula>"High"</formula>
    </cfRule>
    <cfRule type="cellIs" priority="10" operator="equal" aboveAverage="0" equalAverage="0" bottom="0" percent="0" rank="0" text="" dxfId="121">
      <formula>"Medium"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4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7" min="7" style="0" width="21"/>
    <col collapsed="false" customWidth="true" hidden="false" outlineLevel="0" max="8" min="8" style="0" width="24"/>
    <col collapsed="false" customWidth="true" hidden="false" outlineLevel="0" max="10" min="10" style="0" width="19"/>
    <col collapsed="false" customWidth="true" hidden="false" outlineLevel="0" max="11" min="11" style="0" width="24"/>
    <col collapsed="false" customWidth="true" hidden="false" outlineLevel="0" max="13" min="13" style="0" width="15"/>
    <col collapsed="false" customWidth="true" hidden="false" outlineLevel="0" max="14" min="14" style="0" width="24"/>
    <col collapsed="false" customWidth="true" hidden="false" outlineLevel="0" max="16" min="16" style="0" width="18"/>
    <col collapsed="false" customWidth="true" hidden="false" outlineLevel="0" max="17" min="17" style="0" width="24"/>
  </cols>
  <sheetData>
    <row r="1" customFormat="false" ht="19.7" hidden="false" customHeight="false" outlineLevel="0" collapsed="false">
      <c r="A1" s="26" t="s">
        <v>12</v>
      </c>
    </row>
    <row r="3" customFormat="false" ht="15" hidden="false" customHeight="false" outlineLevel="0" collapsed="false">
      <c r="A3" s="21" t="s">
        <v>13</v>
      </c>
      <c r="B3" s="21" t="s">
        <v>14</v>
      </c>
      <c r="D3" s="21" t="s">
        <v>15</v>
      </c>
      <c r="E3" s="21" t="s">
        <v>16</v>
      </c>
      <c r="G3" s="21" t="s">
        <v>17</v>
      </c>
      <c r="H3" s="21" t="s">
        <v>16</v>
      </c>
      <c r="J3" s="21" t="s">
        <v>18</v>
      </c>
      <c r="K3" s="21" t="s">
        <v>19</v>
      </c>
      <c r="M3" s="21" t="s">
        <v>20</v>
      </c>
      <c r="N3" s="21" t="s">
        <v>16</v>
      </c>
      <c r="P3" s="21" t="s">
        <v>15</v>
      </c>
      <c r="Q3" s="21" t="s">
        <v>7</v>
      </c>
    </row>
    <row r="4" customFormat="false" ht="15" hidden="false" customHeight="false" outlineLevel="0" collapsed="false">
      <c r="A4" s="25" t="s">
        <v>21</v>
      </c>
      <c r="B4" s="25" t="n">
        <f aca="false">COUNTIF(Analyzer!$Q$2:$Q$101,A4)</f>
        <v>22</v>
      </c>
      <c r="D4" s="25" t="s">
        <v>22</v>
      </c>
      <c r="E4" s="27" t="n">
        <f aca="false">AVERAGEIF(Analyzer!$C$2:$C$101,D4,Analyzer!$H$2:$H$101)</f>
        <v>4.255</v>
      </c>
      <c r="G4" s="25" t="s">
        <v>23</v>
      </c>
      <c r="H4" s="27" t="n">
        <f aca="false">AVERAGEIF(Analyzer!$D$2:$D$101,G4,Analyzer!$H$2:$H$101)</f>
        <v>4.08685714285714</v>
      </c>
      <c r="J4" s="25" t="s">
        <v>24</v>
      </c>
      <c r="K4" s="25" t="n">
        <f aca="false">COUNTIF(Analyzer!$S$2:$S$101,"Yes")</f>
        <v>40</v>
      </c>
      <c r="M4" s="25" t="s">
        <v>25</v>
      </c>
      <c r="N4" s="27" t="n">
        <f aca="false">AVERAGEIF(Analyzer!$L$2:$L$101,"&lt;"&amp;Controls!$B$11,Analyzer!$H$2:$H$101)</f>
        <v>3.88472222222222</v>
      </c>
      <c r="P4" s="25" t="s">
        <v>22</v>
      </c>
      <c r="Q4" s="25" t="n">
        <f aca="false">COUNTIFS(Analyzer!$C$2:$C$101,P4,Analyzer!$Y$2:$Y$101,"High")</f>
        <v>3</v>
      </c>
    </row>
    <row r="5" customFormat="false" ht="15" hidden="false" customHeight="false" outlineLevel="0" collapsed="false">
      <c r="A5" s="25" t="s">
        <v>26</v>
      </c>
      <c r="B5" s="25" t="n">
        <f aca="false">COUNTIF(Analyzer!$Q$2:$Q$101,A5)</f>
        <v>25</v>
      </c>
      <c r="D5" s="25" t="s">
        <v>27</v>
      </c>
      <c r="E5" s="27" t="n">
        <f aca="false">AVERAGEIF(Analyzer!$C$2:$C$101,D5,Analyzer!$H$2:$H$101)</f>
        <v>4.08916666666667</v>
      </c>
      <c r="G5" s="25" t="s">
        <v>28</v>
      </c>
      <c r="H5" s="27" t="n">
        <f aca="false">AVERAGEIF(Analyzer!$D$2:$D$101,G5,Analyzer!$H$2:$H$101)</f>
        <v>3.99454545454545</v>
      </c>
      <c r="J5" s="25" t="s">
        <v>29</v>
      </c>
      <c r="K5" s="25" t="n">
        <f aca="false">COUNTIF(Analyzer!$T$2:$T$101,"Yes")</f>
        <v>38</v>
      </c>
      <c r="M5" s="25" t="s">
        <v>30</v>
      </c>
      <c r="N5" s="27" t="n">
        <f aca="false">AVERAGEIFS(Analyzer!$H$2:$H$101,Analyzer!$L$2:$L$101,"&gt;="&amp;Controls!$B$11,Analyzer!$L$2:$L$101,"&lt;"&amp;Controls!$B$13)</f>
        <v>4.23636363636364</v>
      </c>
      <c r="P5" s="25" t="s">
        <v>27</v>
      </c>
      <c r="Q5" s="25" t="n">
        <f aca="false">COUNTIFS(Analyzer!$C$2:$C$101,P5,Analyzer!$Y$2:$Y$101,"High")</f>
        <v>8</v>
      </c>
    </row>
    <row r="6" customFormat="false" ht="15" hidden="false" customHeight="false" outlineLevel="0" collapsed="false">
      <c r="A6" s="25" t="s">
        <v>31</v>
      </c>
      <c r="B6" s="25" t="n">
        <f aca="false">COUNTIF(Analyzer!$Q$2:$Q$101,A6)</f>
        <v>32</v>
      </c>
      <c r="D6" s="25" t="s">
        <v>32</v>
      </c>
      <c r="E6" s="27" t="n">
        <f aca="false">AVERAGEIF(Analyzer!$C$2:$C$101,D6,Analyzer!$H$2:$H$101)</f>
        <v>4.01105263157895</v>
      </c>
      <c r="G6" s="25" t="s">
        <v>33</v>
      </c>
      <c r="H6" s="27" t="n">
        <f aca="false">AVERAGEIF(Analyzer!$D$2:$D$101,G6,Analyzer!$H$2:$H$101)</f>
        <v>3.9896875</v>
      </c>
      <c r="J6" s="25" t="s">
        <v>34</v>
      </c>
      <c r="K6" s="25" t="n">
        <f aca="false">COUNTIF(Analyzer!$U$2:$U$101,"Yes")</f>
        <v>36</v>
      </c>
      <c r="M6" s="25" t="s">
        <v>35</v>
      </c>
      <c r="N6" s="27" t="n">
        <f aca="false">AVERAGEIF(Analyzer!$L$2:$L$101,"&gt;="&amp;Controls!$B$13,Analyzer!$H$2:$H$101)</f>
        <v>3.96387096774194</v>
      </c>
      <c r="P6" s="25" t="s">
        <v>32</v>
      </c>
      <c r="Q6" s="25" t="n">
        <f aca="false">COUNTIFS(Analyzer!$C$2:$C$101,P6,Analyzer!$Y$2:$Y$101,"High")</f>
        <v>3</v>
      </c>
    </row>
    <row r="7" customFormat="false" ht="15" hidden="false" customHeight="false" outlineLevel="0" collapsed="false">
      <c r="A7" s="25" t="s">
        <v>36</v>
      </c>
      <c r="B7" s="25" t="n">
        <f aca="false">COUNTIF(Analyzer!$Q$2:$Q$101,A7)</f>
        <v>21</v>
      </c>
      <c r="D7" s="25" t="s">
        <v>37</v>
      </c>
      <c r="E7" s="27" t="n">
        <f aca="false">AVERAGEIF(Analyzer!$C$2:$C$101,D7,Analyzer!$H$2:$H$101)</f>
        <v>3.89833333333333</v>
      </c>
      <c r="H7" s="28"/>
      <c r="J7" s="25" t="s">
        <v>38</v>
      </c>
      <c r="K7" s="25" t="n">
        <f aca="false">COUNTIF(Analyzer!$V$2:$V$101,"Yes")</f>
        <v>32</v>
      </c>
      <c r="N7" s="28"/>
      <c r="P7" s="25" t="s">
        <v>37</v>
      </c>
      <c r="Q7" s="25" t="n">
        <f aca="false">COUNTIFS(Analyzer!$C$2:$C$101,P7,Analyzer!$Y$2:$Y$101,"High")</f>
        <v>2</v>
      </c>
    </row>
    <row r="8" customFormat="false" ht="15" hidden="false" customHeight="false" outlineLevel="0" collapsed="false">
      <c r="D8" s="25" t="s">
        <v>39</v>
      </c>
      <c r="E8" s="27" t="n">
        <f aca="false">AVERAGEIF(Analyzer!$C$2:$C$101,D8,Analyzer!$H$2:$H$101)</f>
        <v>3.78823529411765</v>
      </c>
      <c r="H8" s="28"/>
      <c r="J8" s="25" t="s">
        <v>40</v>
      </c>
      <c r="K8" s="25" t="n">
        <f aca="false">COUNTIF(Analyzer!$W$2:$W$101,"Yes")</f>
        <v>15</v>
      </c>
      <c r="N8" s="28"/>
      <c r="P8" s="25" t="s">
        <v>39</v>
      </c>
      <c r="Q8" s="25" t="n">
        <f aca="false">COUNTIFS(Analyzer!$C$2:$C$101,P8,Analyzer!$Y$2:$Y$101,"High")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" min="3" style="0" width="42"/>
  </cols>
  <sheetData>
    <row r="1" customFormat="false" ht="19.7" hidden="false" customHeight="false" outlineLevel="0" collapsed="false">
      <c r="A1" s="17" t="s">
        <v>41</v>
      </c>
      <c r="B1" s="17"/>
      <c r="C1" s="17"/>
    </row>
    <row r="3" customFormat="false" ht="15" hidden="false" customHeight="false" outlineLevel="0" collapsed="false">
      <c r="A3" s="21" t="s">
        <v>42</v>
      </c>
      <c r="B3" s="21" t="s">
        <v>43</v>
      </c>
      <c r="C3" s="21" t="s">
        <v>44</v>
      </c>
    </row>
    <row r="4" customFormat="false" ht="15" hidden="false" customHeight="false" outlineLevel="0" collapsed="false">
      <c r="A4" s="25" t="s">
        <v>45</v>
      </c>
      <c r="B4" s="29" t="n">
        <v>3.5</v>
      </c>
      <c r="C4" s="25" t="s">
        <v>46</v>
      </c>
    </row>
    <row r="5" customFormat="false" ht="15" hidden="false" customHeight="false" outlineLevel="0" collapsed="false">
      <c r="A5" s="25" t="s">
        <v>47</v>
      </c>
      <c r="B5" s="29" t="n">
        <v>4</v>
      </c>
      <c r="C5" s="25" t="s">
        <v>48</v>
      </c>
    </row>
    <row r="6" customFormat="false" ht="15" hidden="false" customHeight="false" outlineLevel="0" collapsed="false">
      <c r="A6" s="25" t="s">
        <v>49</v>
      </c>
      <c r="B6" s="29" t="n">
        <v>4.5</v>
      </c>
      <c r="C6" s="25" t="s">
        <v>50</v>
      </c>
    </row>
    <row r="7" customFormat="false" ht="15" hidden="false" customHeight="false" outlineLevel="0" collapsed="false">
      <c r="A7" s="25" t="s">
        <v>51</v>
      </c>
      <c r="B7" s="29" t="n">
        <v>40</v>
      </c>
      <c r="C7" s="25" t="s">
        <v>52</v>
      </c>
    </row>
    <row r="8" customFormat="false" ht="15" hidden="false" customHeight="false" outlineLevel="0" collapsed="false">
      <c r="A8" s="25" t="s">
        <v>53</v>
      </c>
      <c r="B8" s="29" t="n">
        <v>25</v>
      </c>
      <c r="C8" s="25" t="s">
        <v>54</v>
      </c>
    </row>
    <row r="9" customFormat="false" ht="15" hidden="false" customHeight="false" outlineLevel="0" collapsed="false">
      <c r="A9" s="25" t="s">
        <v>55</v>
      </c>
      <c r="B9" s="29" t="n">
        <v>75</v>
      </c>
      <c r="C9" s="25" t="s">
        <v>56</v>
      </c>
    </row>
    <row r="10" customFormat="false" ht="15" hidden="false" customHeight="false" outlineLevel="0" collapsed="false">
      <c r="A10" s="25" t="s">
        <v>57</v>
      </c>
      <c r="B10" s="29" t="n">
        <v>80</v>
      </c>
      <c r="C10" s="25" t="s">
        <v>58</v>
      </c>
    </row>
    <row r="11" customFormat="false" ht="15" hidden="false" customHeight="false" outlineLevel="0" collapsed="false">
      <c r="A11" s="25" t="s">
        <v>59</v>
      </c>
      <c r="B11" s="29" t="n">
        <v>8</v>
      </c>
      <c r="C11" s="25" t="s">
        <v>60</v>
      </c>
    </row>
    <row r="12" customFormat="false" ht="15" hidden="false" customHeight="false" outlineLevel="0" collapsed="false">
      <c r="A12" s="25" t="s">
        <v>61</v>
      </c>
      <c r="B12" s="29" t="n">
        <v>4</v>
      </c>
      <c r="C12" s="25" t="s">
        <v>62</v>
      </c>
    </row>
    <row r="13" customFormat="false" ht="15" hidden="false" customHeight="false" outlineLevel="0" collapsed="false">
      <c r="A13" s="25" t="s">
        <v>63</v>
      </c>
      <c r="B13" s="29" t="n">
        <v>15</v>
      </c>
      <c r="C13" s="25" t="s">
        <v>64</v>
      </c>
    </row>
    <row r="15" customFormat="false" ht="15" hidden="false" customHeight="false" outlineLevel="0" collapsed="false">
      <c r="A15" s="2" t="s">
        <v>65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30" t="s">
        <v>66</v>
      </c>
      <c r="B1" s="30" t="s">
        <v>67</v>
      </c>
      <c r="C1" s="30" t="s">
        <v>68</v>
      </c>
      <c r="D1" s="30" t="s">
        <v>69</v>
      </c>
      <c r="E1" s="30" t="s">
        <v>70</v>
      </c>
      <c r="F1" s="30" t="s">
        <v>71</v>
      </c>
      <c r="G1" s="30" t="s">
        <v>72</v>
      </c>
      <c r="H1" s="30" t="s">
        <v>73</v>
      </c>
      <c r="I1" s="30" t="s">
        <v>74</v>
      </c>
      <c r="J1" s="30" t="s">
        <v>75</v>
      </c>
      <c r="K1" s="30" t="s">
        <v>76</v>
      </c>
      <c r="L1" s="30" t="s">
        <v>77</v>
      </c>
      <c r="M1" s="30" t="s">
        <v>78</v>
      </c>
      <c r="N1" s="30" t="s">
        <v>79</v>
      </c>
      <c r="O1" s="30" t="s">
        <v>80</v>
      </c>
      <c r="P1" s="30" t="s">
        <v>81</v>
      </c>
      <c r="Q1" s="30" t="s">
        <v>82</v>
      </c>
      <c r="R1" s="30" t="s">
        <v>83</v>
      </c>
      <c r="S1" s="30" t="s">
        <v>84</v>
      </c>
      <c r="T1" s="30" t="s">
        <v>85</v>
      </c>
      <c r="U1" s="30" t="s">
        <v>86</v>
      </c>
      <c r="V1" s="30" t="s">
        <v>87</v>
      </c>
      <c r="W1" s="30" t="s">
        <v>88</v>
      </c>
      <c r="X1" s="30" t="s">
        <v>89</v>
      </c>
      <c r="Y1" s="30" t="s">
        <v>90</v>
      </c>
      <c r="Z1" s="30" t="s">
        <v>91</v>
      </c>
      <c r="AA1" s="30" t="s">
        <v>92</v>
      </c>
      <c r="AB1" s="30" t="s">
        <v>93</v>
      </c>
      <c r="AC1" s="30" t="s">
        <v>94</v>
      </c>
      <c r="AD1" s="30" t="s">
        <v>95</v>
      </c>
      <c r="AE1" s="30" t="s">
        <v>96</v>
      </c>
      <c r="AF1" s="30" t="s">
        <v>97</v>
      </c>
      <c r="AG1" s="30" t="s">
        <v>98</v>
      </c>
      <c r="AH1" s="30" t="s">
        <v>99</v>
      </c>
      <c r="AI1" s="30" t="s">
        <v>100</v>
      </c>
      <c r="AJ1" s="30" t="s">
        <v>101</v>
      </c>
      <c r="AK1" s="30" t="s">
        <v>102</v>
      </c>
      <c r="AL1" s="30" t="s">
        <v>103</v>
      </c>
      <c r="AM1" s="30" t="s">
        <v>104</v>
      </c>
      <c r="AN1" s="30" t="s">
        <v>105</v>
      </c>
      <c r="AO1" s="30" t="s">
        <v>106</v>
      </c>
      <c r="AP1" s="30" t="s">
        <v>107</v>
      </c>
      <c r="AQ1" s="30" t="s">
        <v>108</v>
      </c>
      <c r="AR1" s="30" t="s">
        <v>109</v>
      </c>
      <c r="AS1" s="30" t="s">
        <v>110</v>
      </c>
      <c r="AT1" s="30" t="s">
        <v>111</v>
      </c>
      <c r="AU1" s="30" t="s">
        <v>112</v>
      </c>
      <c r="AV1" s="30" t="s">
        <v>113</v>
      </c>
      <c r="AW1" s="30" t="s">
        <v>114</v>
      </c>
      <c r="AX1" s="30" t="s">
        <v>115</v>
      </c>
      <c r="AY1" s="30" t="s">
        <v>116</v>
      </c>
      <c r="AZ1" s="30" t="s">
        <v>117</v>
      </c>
      <c r="BA1" s="30" t="s">
        <v>118</v>
      </c>
      <c r="BB1" s="30" t="s">
        <v>119</v>
      </c>
      <c r="BC1" s="30" t="s">
        <v>120</v>
      </c>
      <c r="BD1" s="30" t="s">
        <v>121</v>
      </c>
      <c r="BE1" s="30" t="s">
        <v>122</v>
      </c>
      <c r="BF1" s="30" t="s">
        <v>123</v>
      </c>
      <c r="BG1" s="30" t="s">
        <v>124</v>
      </c>
    </row>
    <row r="2" customFormat="false" ht="15" hidden="false" customHeight="false" outlineLevel="0" collapsed="false">
      <c r="A2" s="0" t="s">
        <v>125</v>
      </c>
      <c r="B2" s="0" t="s">
        <v>126</v>
      </c>
      <c r="C2" s="0" t="s">
        <v>127</v>
      </c>
      <c r="D2" s="0" t="s">
        <v>128</v>
      </c>
      <c r="E2" s="0" t="s">
        <v>37</v>
      </c>
      <c r="F2" s="0" t="s">
        <v>23</v>
      </c>
      <c r="G2" s="0" t="s">
        <v>129</v>
      </c>
      <c r="H2" s="31" t="n">
        <v>44985</v>
      </c>
      <c r="I2" s="0" t="n">
        <v>17</v>
      </c>
      <c r="J2" s="0" t="s">
        <v>130</v>
      </c>
      <c r="K2" s="0" t="s">
        <v>131</v>
      </c>
      <c r="L2" s="0" t="s">
        <v>132</v>
      </c>
      <c r="M2" s="0" t="s">
        <v>133</v>
      </c>
      <c r="N2" s="0" t="n">
        <v>1</v>
      </c>
      <c r="O2" s="0" t="s">
        <v>134</v>
      </c>
      <c r="P2" s="0" t="n">
        <v>1</v>
      </c>
      <c r="Q2" s="0" t="n">
        <v>5</v>
      </c>
      <c r="R2" s="0" t="n">
        <v>5</v>
      </c>
      <c r="S2" s="0" t="n">
        <v>0</v>
      </c>
      <c r="T2" s="0" t="n">
        <v>0</v>
      </c>
      <c r="U2" s="0" t="n">
        <v>5</v>
      </c>
      <c r="V2" s="0" t="n">
        <v>20</v>
      </c>
      <c r="W2" s="0" t="n">
        <v>20</v>
      </c>
      <c r="X2" s="0" t="n">
        <v>0</v>
      </c>
      <c r="Y2" s="0" t="n">
        <v>15</v>
      </c>
      <c r="Z2" s="0" t="n">
        <v>25</v>
      </c>
      <c r="AA2" s="0" t="s">
        <v>135</v>
      </c>
      <c r="AB2" s="0" t="s">
        <v>136</v>
      </c>
      <c r="AC2" s="0" t="s">
        <v>137</v>
      </c>
      <c r="AD2" s="0" t="n">
        <v>5</v>
      </c>
      <c r="AE2" s="0" t="s">
        <v>138</v>
      </c>
      <c r="AF2" s="0" t="s">
        <v>139</v>
      </c>
      <c r="AG2" s="0" t="s">
        <v>140</v>
      </c>
      <c r="AH2" s="0" t="n">
        <v>2</v>
      </c>
      <c r="AI2" s="0" t="n">
        <v>5</v>
      </c>
      <c r="AJ2" s="0" t="s">
        <v>141</v>
      </c>
      <c r="AK2" s="0" t="s">
        <v>142</v>
      </c>
      <c r="AL2" s="0" t="n">
        <v>2</v>
      </c>
      <c r="AM2" s="0" t="s">
        <v>137</v>
      </c>
      <c r="AN2" s="0" t="s">
        <v>143</v>
      </c>
      <c r="AO2" s="0" t="n">
        <v>8</v>
      </c>
      <c r="AP2" s="0" t="n">
        <v>7</v>
      </c>
      <c r="AQ2" s="0" t="s">
        <v>144</v>
      </c>
      <c r="AR2" s="0" t="n">
        <v>3</v>
      </c>
      <c r="AS2" s="0" t="n">
        <v>1</v>
      </c>
      <c r="AT2" s="0" t="n">
        <v>1</v>
      </c>
      <c r="AU2" s="0" t="n">
        <v>4</v>
      </c>
      <c r="AV2" s="0" t="n">
        <v>3.04</v>
      </c>
      <c r="AW2" s="0" t="n">
        <v>80</v>
      </c>
      <c r="AX2" s="0" t="n">
        <v>80</v>
      </c>
      <c r="AY2" s="0" t="n">
        <v>3.52</v>
      </c>
      <c r="AZ2" s="0" t="n">
        <v>0</v>
      </c>
      <c r="BA2" s="0" t="s">
        <v>145</v>
      </c>
      <c r="BB2" s="0" t="s">
        <v>146</v>
      </c>
      <c r="BC2" s="0" t="s">
        <v>147</v>
      </c>
      <c r="BD2" s="0" t="s">
        <v>148</v>
      </c>
      <c r="BE2" s="0" t="s">
        <v>149</v>
      </c>
      <c r="BF2" s="31" t="n">
        <v>46096.4205265741</v>
      </c>
      <c r="BG2" s="0" t="s">
        <v>143</v>
      </c>
    </row>
    <row r="3" customFormat="false" ht="15" hidden="false" customHeight="false" outlineLevel="0" collapsed="false">
      <c r="A3" s="0" t="s">
        <v>150</v>
      </c>
      <c r="B3" s="0" t="s">
        <v>151</v>
      </c>
      <c r="C3" s="0" t="s">
        <v>152</v>
      </c>
      <c r="D3" s="0" t="s">
        <v>153</v>
      </c>
      <c r="E3" s="0" t="s">
        <v>22</v>
      </c>
      <c r="F3" s="0" t="s">
        <v>33</v>
      </c>
      <c r="G3" s="0" t="s">
        <v>154</v>
      </c>
      <c r="H3" s="31" t="n">
        <v>42440</v>
      </c>
      <c r="I3" s="0" t="n">
        <v>10</v>
      </c>
      <c r="J3" s="0" t="s">
        <v>155</v>
      </c>
      <c r="K3" s="0" t="s">
        <v>156</v>
      </c>
      <c r="L3" s="0" t="s">
        <v>157</v>
      </c>
      <c r="M3" s="0" t="s">
        <v>158</v>
      </c>
      <c r="N3" s="0" t="n">
        <v>3</v>
      </c>
      <c r="O3" s="0" t="s">
        <v>134</v>
      </c>
      <c r="P3" s="0" t="n">
        <v>4</v>
      </c>
      <c r="Q3" s="0" t="n">
        <v>4</v>
      </c>
      <c r="R3" s="0" t="n">
        <v>3</v>
      </c>
      <c r="S3" s="0" t="n">
        <v>3</v>
      </c>
      <c r="T3" s="0" t="n">
        <v>0</v>
      </c>
      <c r="U3" s="0" t="n">
        <v>6</v>
      </c>
      <c r="V3" s="0" t="n">
        <v>24</v>
      </c>
      <c r="W3" s="0" t="n">
        <v>20</v>
      </c>
      <c r="X3" s="0" t="n">
        <v>0</v>
      </c>
      <c r="Y3" s="0" t="n">
        <v>14</v>
      </c>
      <c r="Z3" s="0" t="n">
        <v>30</v>
      </c>
      <c r="AA3" s="0" t="s">
        <v>135</v>
      </c>
      <c r="AB3" s="0" t="s">
        <v>136</v>
      </c>
      <c r="AC3" s="0" t="s">
        <v>143</v>
      </c>
      <c r="AD3" s="0" t="n">
        <v>3</v>
      </c>
      <c r="AE3" s="0" t="s">
        <v>159</v>
      </c>
      <c r="AF3" s="0" t="s">
        <v>160</v>
      </c>
      <c r="AG3" s="0" t="s">
        <v>161</v>
      </c>
      <c r="AH3" s="0" t="n">
        <v>1</v>
      </c>
      <c r="AI3" s="0" t="n">
        <v>9</v>
      </c>
      <c r="AJ3" s="0" t="s">
        <v>141</v>
      </c>
      <c r="AK3" s="0" t="s">
        <v>162</v>
      </c>
      <c r="AL3" s="0" t="n">
        <v>8</v>
      </c>
      <c r="AM3" s="0" t="s">
        <v>143</v>
      </c>
      <c r="AN3" s="0" t="s">
        <v>137</v>
      </c>
      <c r="AO3" s="0" t="n">
        <v>2</v>
      </c>
      <c r="AP3" s="0" t="n">
        <v>1</v>
      </c>
      <c r="AQ3" s="0" t="s">
        <v>144</v>
      </c>
      <c r="AR3" s="0" t="n">
        <v>5</v>
      </c>
      <c r="AS3" s="0" t="n">
        <v>3</v>
      </c>
      <c r="AT3" s="0" t="n">
        <v>0</v>
      </c>
      <c r="AU3" s="0" t="n">
        <v>6</v>
      </c>
      <c r="AV3" s="0" t="n">
        <v>4.81</v>
      </c>
      <c r="AW3" s="0" t="n">
        <v>88</v>
      </c>
      <c r="AX3" s="0" t="n">
        <v>78</v>
      </c>
      <c r="AY3" s="0" t="n">
        <v>4.35</v>
      </c>
      <c r="AZ3" s="0" t="n">
        <v>8</v>
      </c>
      <c r="BA3" s="0" t="s">
        <v>163</v>
      </c>
      <c r="BB3" s="0" t="s">
        <v>146</v>
      </c>
      <c r="BC3" s="0" t="s">
        <v>40</v>
      </c>
      <c r="BD3" s="0" t="s">
        <v>164</v>
      </c>
      <c r="BE3" s="0" t="s">
        <v>149</v>
      </c>
      <c r="BF3" s="31" t="n">
        <v>46096.4205265741</v>
      </c>
      <c r="BG3" s="0" t="s">
        <v>143</v>
      </c>
    </row>
    <row r="4" customFormat="false" ht="15" hidden="false" customHeight="false" outlineLevel="0" collapsed="false">
      <c r="A4" s="0" t="s">
        <v>165</v>
      </c>
      <c r="B4" s="0" t="s">
        <v>166</v>
      </c>
      <c r="C4" s="0" t="s">
        <v>167</v>
      </c>
      <c r="D4" s="0" t="s">
        <v>168</v>
      </c>
      <c r="E4" s="0" t="s">
        <v>22</v>
      </c>
      <c r="F4" s="0" t="s">
        <v>33</v>
      </c>
      <c r="G4" s="0" t="s">
        <v>154</v>
      </c>
      <c r="H4" s="31" t="n">
        <v>43282</v>
      </c>
      <c r="I4" s="0" t="n">
        <v>8</v>
      </c>
      <c r="J4" s="0" t="s">
        <v>169</v>
      </c>
      <c r="K4" s="0" t="s">
        <v>156</v>
      </c>
      <c r="L4" s="0" t="s">
        <v>170</v>
      </c>
      <c r="M4" s="0" t="s">
        <v>158</v>
      </c>
      <c r="N4" s="0" t="n">
        <v>5</v>
      </c>
      <c r="O4" s="0" t="s">
        <v>171</v>
      </c>
      <c r="P4" s="0" t="n">
        <v>2</v>
      </c>
      <c r="Q4" s="0" t="n">
        <v>3</v>
      </c>
      <c r="R4" s="0" t="n">
        <v>4</v>
      </c>
      <c r="S4" s="0" t="n">
        <v>2</v>
      </c>
      <c r="T4" s="0" t="n">
        <v>2</v>
      </c>
      <c r="U4" s="0" t="n">
        <v>8</v>
      </c>
      <c r="V4" s="0" t="n">
        <v>32</v>
      </c>
      <c r="W4" s="0" t="n">
        <v>20</v>
      </c>
      <c r="X4" s="0" t="n">
        <v>0</v>
      </c>
      <c r="Y4" s="0" t="n">
        <v>12</v>
      </c>
      <c r="Z4" s="0" t="n">
        <v>40</v>
      </c>
      <c r="AA4" s="0" t="s">
        <v>135</v>
      </c>
      <c r="AB4" s="0" t="s">
        <v>172</v>
      </c>
      <c r="AC4" s="0" t="s">
        <v>137</v>
      </c>
      <c r="AD4" s="0" t="n">
        <v>7</v>
      </c>
      <c r="AE4" s="0" t="s">
        <v>138</v>
      </c>
      <c r="AF4" s="0" t="s">
        <v>173</v>
      </c>
      <c r="AG4" s="0" t="s">
        <v>161</v>
      </c>
      <c r="AH4" s="0" t="n">
        <v>2</v>
      </c>
      <c r="AI4" s="0" t="n">
        <v>13</v>
      </c>
      <c r="AJ4" s="0" t="s">
        <v>174</v>
      </c>
      <c r="AK4" s="0" t="s">
        <v>142</v>
      </c>
      <c r="AL4" s="0" t="n">
        <v>4</v>
      </c>
      <c r="AM4" s="0" t="s">
        <v>143</v>
      </c>
      <c r="AN4" s="0" t="s">
        <v>137</v>
      </c>
      <c r="AO4" s="0" t="n">
        <v>7</v>
      </c>
      <c r="AP4" s="0" t="n">
        <v>0</v>
      </c>
      <c r="AQ4" s="0" t="s">
        <v>175</v>
      </c>
      <c r="AR4" s="0" t="n">
        <v>2</v>
      </c>
      <c r="AS4" s="0" t="n">
        <v>5</v>
      </c>
      <c r="AT4" s="0" t="n">
        <v>3</v>
      </c>
      <c r="AU4" s="0" t="n">
        <v>5</v>
      </c>
      <c r="AV4" s="0" t="n">
        <v>4.07</v>
      </c>
      <c r="AW4" s="0" t="n">
        <v>88</v>
      </c>
      <c r="AX4" s="0" t="n">
        <v>70</v>
      </c>
      <c r="AY4" s="0" t="n">
        <v>3.79</v>
      </c>
      <c r="AZ4" s="0" t="n">
        <v>16</v>
      </c>
      <c r="BA4" s="0" t="s">
        <v>163</v>
      </c>
      <c r="BB4" s="0" t="s">
        <v>146</v>
      </c>
      <c r="BC4" s="0" t="s">
        <v>40</v>
      </c>
      <c r="BD4" s="0" t="s">
        <v>148</v>
      </c>
      <c r="BE4" s="0" t="s">
        <v>176</v>
      </c>
      <c r="BF4" s="31" t="n">
        <v>46096.4205265741</v>
      </c>
      <c r="BG4" s="0" t="s">
        <v>143</v>
      </c>
    </row>
    <row r="5" customFormat="false" ht="15" hidden="false" customHeight="false" outlineLevel="0" collapsed="false">
      <c r="A5" s="0" t="s">
        <v>177</v>
      </c>
      <c r="B5" s="0" t="s">
        <v>178</v>
      </c>
      <c r="C5" s="0" t="s">
        <v>179</v>
      </c>
      <c r="D5" s="0" t="s">
        <v>180</v>
      </c>
      <c r="E5" s="0" t="s">
        <v>27</v>
      </c>
      <c r="F5" s="0" t="s">
        <v>28</v>
      </c>
      <c r="G5" s="0" t="s">
        <v>154</v>
      </c>
      <c r="H5" s="31" t="n">
        <v>44327</v>
      </c>
      <c r="I5" s="0" t="n">
        <v>10</v>
      </c>
      <c r="J5" s="0" t="s">
        <v>169</v>
      </c>
      <c r="K5" s="0" t="s">
        <v>131</v>
      </c>
      <c r="L5" s="0" t="s">
        <v>181</v>
      </c>
      <c r="M5" s="0" t="s">
        <v>158</v>
      </c>
      <c r="N5" s="0" t="n">
        <v>5</v>
      </c>
      <c r="O5" s="0" t="s">
        <v>182</v>
      </c>
      <c r="P5" s="0" t="n">
        <v>2</v>
      </c>
      <c r="Q5" s="0" t="n">
        <v>2</v>
      </c>
      <c r="R5" s="0" t="n">
        <v>3</v>
      </c>
      <c r="S5" s="0" t="n">
        <v>1</v>
      </c>
      <c r="T5" s="0" t="n">
        <v>1</v>
      </c>
      <c r="U5" s="0" t="n">
        <v>5</v>
      </c>
      <c r="V5" s="0" t="n">
        <v>20</v>
      </c>
      <c r="W5" s="0" t="n">
        <v>20</v>
      </c>
      <c r="X5" s="0" t="n">
        <v>0</v>
      </c>
      <c r="Y5" s="0" t="n">
        <v>15</v>
      </c>
      <c r="Z5" s="0" t="n">
        <v>25</v>
      </c>
      <c r="AA5" s="0" t="s">
        <v>135</v>
      </c>
      <c r="AB5" s="0" t="s">
        <v>172</v>
      </c>
      <c r="AC5" s="0" t="s">
        <v>143</v>
      </c>
      <c r="AD5" s="0" t="n">
        <v>3</v>
      </c>
      <c r="AE5" s="0" t="s">
        <v>183</v>
      </c>
      <c r="AF5" s="0" t="s">
        <v>161</v>
      </c>
      <c r="AG5" s="0" t="s">
        <v>184</v>
      </c>
      <c r="AH5" s="0" t="n">
        <v>2</v>
      </c>
      <c r="AI5" s="0" t="n">
        <v>8</v>
      </c>
      <c r="AJ5" s="0" t="s">
        <v>185</v>
      </c>
      <c r="AK5" s="0" t="s">
        <v>142</v>
      </c>
      <c r="AL5" s="0" t="n">
        <v>8</v>
      </c>
      <c r="AM5" s="0" t="s">
        <v>137</v>
      </c>
      <c r="AN5" s="0" t="s">
        <v>143</v>
      </c>
      <c r="AO5" s="0" t="n">
        <v>10</v>
      </c>
      <c r="AP5" s="0" t="n">
        <v>4</v>
      </c>
      <c r="AQ5" s="0" t="s">
        <v>175</v>
      </c>
      <c r="AR5" s="0" t="n">
        <v>3</v>
      </c>
      <c r="AS5" s="0" t="n">
        <v>1</v>
      </c>
      <c r="AT5" s="0" t="n">
        <v>1</v>
      </c>
      <c r="AU5" s="0" t="n">
        <v>6</v>
      </c>
      <c r="AV5" s="0" t="n">
        <v>4.53</v>
      </c>
      <c r="AW5" s="0" t="n">
        <v>85</v>
      </c>
      <c r="AX5" s="0" t="n">
        <v>83</v>
      </c>
      <c r="AY5" s="0" t="n">
        <v>4.34</v>
      </c>
      <c r="AZ5" s="0" t="n">
        <v>15</v>
      </c>
      <c r="BA5" s="0" t="s">
        <v>145</v>
      </c>
      <c r="BB5" s="0" t="s">
        <v>146</v>
      </c>
      <c r="BC5" s="0" t="s">
        <v>186</v>
      </c>
      <c r="BD5" s="0" t="s">
        <v>148</v>
      </c>
      <c r="BE5" s="0" t="s">
        <v>149</v>
      </c>
      <c r="BF5" s="31" t="n">
        <v>46096.4205265741</v>
      </c>
      <c r="BG5" s="0" t="s">
        <v>143</v>
      </c>
    </row>
    <row r="6" customFormat="false" ht="15" hidden="false" customHeight="false" outlineLevel="0" collapsed="false">
      <c r="A6" s="0" t="s">
        <v>187</v>
      </c>
      <c r="B6" s="0" t="s">
        <v>188</v>
      </c>
      <c r="C6" s="0" t="s">
        <v>189</v>
      </c>
      <c r="D6" s="0" t="s">
        <v>190</v>
      </c>
      <c r="E6" s="0" t="s">
        <v>27</v>
      </c>
      <c r="F6" s="0" t="s">
        <v>28</v>
      </c>
      <c r="G6" s="0" t="s">
        <v>154</v>
      </c>
      <c r="H6" s="31" t="n">
        <v>43916</v>
      </c>
      <c r="I6" s="0" t="n">
        <v>3</v>
      </c>
      <c r="J6" s="0" t="s">
        <v>130</v>
      </c>
      <c r="K6" s="0" t="s">
        <v>191</v>
      </c>
      <c r="L6" s="0" t="s">
        <v>192</v>
      </c>
      <c r="M6" s="0" t="s">
        <v>158</v>
      </c>
      <c r="N6" s="0" t="n">
        <v>5</v>
      </c>
      <c r="O6" s="0" t="s">
        <v>171</v>
      </c>
      <c r="P6" s="0" t="n">
        <v>2</v>
      </c>
      <c r="Q6" s="0" t="n">
        <v>4</v>
      </c>
      <c r="R6" s="0" t="n">
        <v>3</v>
      </c>
      <c r="S6" s="0" t="n">
        <v>1</v>
      </c>
      <c r="T6" s="0" t="n">
        <v>1</v>
      </c>
      <c r="U6" s="0" t="n">
        <v>5</v>
      </c>
      <c r="V6" s="0" t="n">
        <v>20</v>
      </c>
      <c r="W6" s="0" t="n">
        <v>20</v>
      </c>
      <c r="X6" s="0" t="n">
        <v>0</v>
      </c>
      <c r="Y6" s="0" t="n">
        <v>15</v>
      </c>
      <c r="Z6" s="0" t="n">
        <v>25</v>
      </c>
      <c r="AA6" s="0" t="s">
        <v>135</v>
      </c>
      <c r="AB6" s="0" t="s">
        <v>172</v>
      </c>
      <c r="AC6" s="0" t="s">
        <v>143</v>
      </c>
      <c r="AD6" s="0" t="n">
        <v>10</v>
      </c>
      <c r="AE6" s="0" t="s">
        <v>138</v>
      </c>
      <c r="AF6" s="0" t="s">
        <v>173</v>
      </c>
      <c r="AG6" s="0" t="s">
        <v>161</v>
      </c>
      <c r="AH6" s="0" t="n">
        <v>2</v>
      </c>
      <c r="AI6" s="0" t="n">
        <v>18</v>
      </c>
      <c r="AJ6" s="0" t="s">
        <v>193</v>
      </c>
      <c r="AK6" s="0" t="s">
        <v>162</v>
      </c>
      <c r="AL6" s="0" t="n">
        <v>8</v>
      </c>
      <c r="AM6" s="0" t="s">
        <v>137</v>
      </c>
      <c r="AN6" s="0" t="s">
        <v>137</v>
      </c>
      <c r="AO6" s="0" t="n">
        <v>0</v>
      </c>
      <c r="AP6" s="0" t="n">
        <v>4</v>
      </c>
      <c r="AQ6" s="0" t="s">
        <v>144</v>
      </c>
      <c r="AR6" s="0" t="n">
        <v>5</v>
      </c>
      <c r="AS6" s="0" t="n">
        <v>3</v>
      </c>
      <c r="AT6" s="0" t="n">
        <v>4</v>
      </c>
      <c r="AU6" s="0" t="n">
        <v>1</v>
      </c>
      <c r="AV6" s="0" t="n">
        <v>3.8</v>
      </c>
      <c r="AW6" s="0" t="n">
        <v>77</v>
      </c>
      <c r="AX6" s="0" t="n">
        <v>87</v>
      </c>
      <c r="AY6" s="0" t="n">
        <v>4.07</v>
      </c>
      <c r="AZ6" s="0" t="n">
        <v>14</v>
      </c>
      <c r="BA6" s="0" t="s">
        <v>145</v>
      </c>
      <c r="BB6" s="0" t="s">
        <v>146</v>
      </c>
      <c r="BC6" s="0" t="s">
        <v>40</v>
      </c>
      <c r="BD6" s="0" t="s">
        <v>148</v>
      </c>
      <c r="BE6" s="0" t="s">
        <v>149</v>
      </c>
      <c r="BF6" s="31" t="n">
        <v>46096.4205265741</v>
      </c>
      <c r="BG6" s="0" t="s">
        <v>137</v>
      </c>
    </row>
    <row r="7" customFormat="false" ht="15" hidden="false" customHeight="false" outlineLevel="0" collapsed="false">
      <c r="A7" s="0" t="s">
        <v>194</v>
      </c>
      <c r="B7" s="0" t="s">
        <v>195</v>
      </c>
      <c r="C7" s="0" t="s">
        <v>196</v>
      </c>
      <c r="D7" s="0" t="s">
        <v>197</v>
      </c>
      <c r="E7" s="0" t="s">
        <v>39</v>
      </c>
      <c r="F7" s="0" t="s">
        <v>33</v>
      </c>
      <c r="G7" s="0" t="s">
        <v>198</v>
      </c>
      <c r="H7" s="31" t="n">
        <v>43810</v>
      </c>
      <c r="I7" s="0" t="n">
        <v>10</v>
      </c>
      <c r="J7" s="0" t="s">
        <v>130</v>
      </c>
      <c r="K7" s="0" t="s">
        <v>199</v>
      </c>
      <c r="L7" s="0" t="s">
        <v>200</v>
      </c>
      <c r="M7" s="0" t="s">
        <v>201</v>
      </c>
      <c r="N7" s="0" t="n">
        <v>1</v>
      </c>
      <c r="O7" s="0" t="s">
        <v>171</v>
      </c>
      <c r="P7" s="0" t="n">
        <v>3</v>
      </c>
      <c r="Q7" s="0" t="n">
        <v>2</v>
      </c>
      <c r="R7" s="0" t="n">
        <v>3</v>
      </c>
      <c r="S7" s="0" t="n">
        <v>0</v>
      </c>
      <c r="T7" s="0" t="n">
        <v>1</v>
      </c>
      <c r="U7" s="0" t="n">
        <v>4</v>
      </c>
      <c r="V7" s="0" t="n">
        <v>16</v>
      </c>
      <c r="W7" s="0" t="n">
        <v>20</v>
      </c>
      <c r="X7" s="0" t="n">
        <v>0</v>
      </c>
      <c r="Y7" s="0" t="n">
        <v>16</v>
      </c>
      <c r="Z7" s="0" t="n">
        <v>20</v>
      </c>
      <c r="AA7" s="0" t="s">
        <v>135</v>
      </c>
      <c r="AB7" s="0" t="s">
        <v>172</v>
      </c>
      <c r="AC7" s="0" t="s">
        <v>143</v>
      </c>
      <c r="AD7" s="0" t="n">
        <v>10</v>
      </c>
      <c r="AE7" s="0" t="s">
        <v>159</v>
      </c>
      <c r="AF7" s="0" t="s">
        <v>161</v>
      </c>
      <c r="AG7" s="0" t="s">
        <v>202</v>
      </c>
      <c r="AH7" s="0" t="n">
        <v>1</v>
      </c>
      <c r="AI7" s="0" t="n">
        <v>19</v>
      </c>
      <c r="AJ7" s="0" t="s">
        <v>193</v>
      </c>
      <c r="AK7" s="0" t="s">
        <v>162</v>
      </c>
      <c r="AL7" s="0" t="n">
        <v>2</v>
      </c>
      <c r="AM7" s="0" t="s">
        <v>143</v>
      </c>
      <c r="AN7" s="0" t="s">
        <v>137</v>
      </c>
      <c r="AO7" s="0" t="n">
        <v>7</v>
      </c>
      <c r="AP7" s="0" t="n">
        <v>3</v>
      </c>
      <c r="AQ7" s="0" t="s">
        <v>203</v>
      </c>
      <c r="AR7" s="0" t="n">
        <v>1</v>
      </c>
      <c r="AS7" s="0" t="n">
        <v>1</v>
      </c>
      <c r="AT7" s="0" t="n">
        <v>5</v>
      </c>
      <c r="AU7" s="0" t="n">
        <v>1</v>
      </c>
      <c r="AV7" s="0" t="n">
        <v>3.78</v>
      </c>
      <c r="AW7" s="0" t="n">
        <v>96</v>
      </c>
      <c r="AX7" s="0" t="n">
        <v>78</v>
      </c>
      <c r="AY7" s="0" t="n">
        <v>3.84</v>
      </c>
      <c r="AZ7" s="0" t="n">
        <v>4</v>
      </c>
      <c r="BA7" s="0" t="s">
        <v>145</v>
      </c>
      <c r="BB7" s="0" t="s">
        <v>146</v>
      </c>
      <c r="BC7" s="0" t="s">
        <v>186</v>
      </c>
      <c r="BD7" s="0" t="s">
        <v>164</v>
      </c>
      <c r="BE7" s="0" t="s">
        <v>176</v>
      </c>
      <c r="BF7" s="31" t="n">
        <v>46096.4205265741</v>
      </c>
      <c r="BG7" s="0" t="s">
        <v>137</v>
      </c>
    </row>
    <row r="8" customFormat="false" ht="15" hidden="false" customHeight="false" outlineLevel="0" collapsed="false">
      <c r="A8" s="0" t="s">
        <v>204</v>
      </c>
      <c r="B8" s="0" t="s">
        <v>205</v>
      </c>
      <c r="C8" s="0" t="s">
        <v>206</v>
      </c>
      <c r="D8" s="0" t="s">
        <v>207</v>
      </c>
      <c r="E8" s="0" t="s">
        <v>37</v>
      </c>
      <c r="F8" s="0" t="s">
        <v>23</v>
      </c>
      <c r="G8" s="0" t="s">
        <v>198</v>
      </c>
      <c r="H8" s="31" t="n">
        <v>44236</v>
      </c>
      <c r="I8" s="0" t="n">
        <v>16</v>
      </c>
      <c r="J8" s="0" t="s">
        <v>169</v>
      </c>
      <c r="K8" s="0" t="s">
        <v>131</v>
      </c>
      <c r="L8" s="0" t="s">
        <v>208</v>
      </c>
      <c r="M8" s="0" t="s">
        <v>158</v>
      </c>
      <c r="N8" s="0" t="n">
        <v>4</v>
      </c>
      <c r="O8" s="0" t="s">
        <v>171</v>
      </c>
      <c r="P8" s="0" t="n">
        <v>2</v>
      </c>
      <c r="Q8" s="0" t="n">
        <v>3</v>
      </c>
      <c r="R8" s="0" t="n">
        <v>4</v>
      </c>
      <c r="S8" s="0" t="n">
        <v>2</v>
      </c>
      <c r="T8" s="0" t="n">
        <v>0</v>
      </c>
      <c r="U8" s="0" t="n">
        <v>6</v>
      </c>
      <c r="V8" s="0" t="n">
        <v>24</v>
      </c>
      <c r="W8" s="0" t="n">
        <v>20</v>
      </c>
      <c r="X8" s="0" t="n">
        <v>0</v>
      </c>
      <c r="Y8" s="0" t="n">
        <v>14</v>
      </c>
      <c r="Z8" s="0" t="n">
        <v>30</v>
      </c>
      <c r="AA8" s="0" t="s">
        <v>135</v>
      </c>
      <c r="AB8" s="0" t="s">
        <v>172</v>
      </c>
      <c r="AC8" s="0" t="s">
        <v>143</v>
      </c>
      <c r="AD8" s="0" t="n">
        <v>3</v>
      </c>
      <c r="AE8" s="0" t="s">
        <v>138</v>
      </c>
      <c r="AF8" s="0" t="s">
        <v>209</v>
      </c>
      <c r="AG8" s="0" t="s">
        <v>140</v>
      </c>
      <c r="AH8" s="0" t="n">
        <v>1</v>
      </c>
      <c r="AI8" s="0" t="n">
        <v>16</v>
      </c>
      <c r="AJ8" s="0" t="s">
        <v>174</v>
      </c>
      <c r="AK8" s="0" t="s">
        <v>162</v>
      </c>
      <c r="AL8" s="0" t="n">
        <v>5</v>
      </c>
      <c r="AM8" s="0" t="s">
        <v>137</v>
      </c>
      <c r="AN8" s="0" t="s">
        <v>137</v>
      </c>
      <c r="AO8" s="0" t="n">
        <v>10</v>
      </c>
      <c r="AP8" s="0" t="n">
        <v>1</v>
      </c>
      <c r="AQ8" s="0" t="s">
        <v>203</v>
      </c>
      <c r="AR8" s="0" t="n">
        <v>2</v>
      </c>
      <c r="AS8" s="0" t="n">
        <v>0</v>
      </c>
      <c r="AT8" s="0" t="n">
        <v>0</v>
      </c>
      <c r="AU8" s="0" t="n">
        <v>3</v>
      </c>
      <c r="AV8" s="0" t="n">
        <v>3.35</v>
      </c>
      <c r="AW8" s="0" t="n">
        <v>84</v>
      </c>
      <c r="AX8" s="0" t="n">
        <v>85</v>
      </c>
      <c r="AY8" s="0" t="n">
        <v>3.8</v>
      </c>
      <c r="AZ8" s="0" t="n">
        <v>20</v>
      </c>
      <c r="BA8" s="0" t="s">
        <v>163</v>
      </c>
      <c r="BB8" s="0" t="s">
        <v>146</v>
      </c>
      <c r="BC8" s="0" t="s">
        <v>186</v>
      </c>
      <c r="BD8" s="0" t="s">
        <v>164</v>
      </c>
      <c r="BE8" s="0" t="s">
        <v>176</v>
      </c>
      <c r="BF8" s="31" t="n">
        <v>46096.4205265741</v>
      </c>
      <c r="BG8" s="0" t="s">
        <v>143</v>
      </c>
    </row>
    <row r="9" customFormat="false" ht="15" hidden="false" customHeight="false" outlineLevel="0" collapsed="false">
      <c r="A9" s="0" t="s">
        <v>210</v>
      </c>
      <c r="B9" s="0" t="s">
        <v>211</v>
      </c>
      <c r="C9" s="0" t="s">
        <v>212</v>
      </c>
      <c r="D9" s="0" t="s">
        <v>213</v>
      </c>
      <c r="E9" s="0" t="s">
        <v>27</v>
      </c>
      <c r="F9" s="0" t="s">
        <v>33</v>
      </c>
      <c r="G9" s="0" t="s">
        <v>154</v>
      </c>
      <c r="H9" s="31" t="n">
        <v>42677</v>
      </c>
      <c r="I9" s="0" t="n">
        <v>3</v>
      </c>
      <c r="J9" s="0" t="s">
        <v>155</v>
      </c>
      <c r="K9" s="0" t="s">
        <v>191</v>
      </c>
      <c r="L9" s="0" t="s">
        <v>214</v>
      </c>
      <c r="M9" s="0" t="s">
        <v>133</v>
      </c>
      <c r="N9" s="0" t="n">
        <v>2</v>
      </c>
      <c r="O9" s="0" t="s">
        <v>134</v>
      </c>
      <c r="P9" s="0" t="n">
        <v>1</v>
      </c>
      <c r="Q9" s="0" t="n">
        <v>5</v>
      </c>
      <c r="R9" s="0" t="n">
        <v>4</v>
      </c>
      <c r="S9" s="0" t="n">
        <v>3</v>
      </c>
      <c r="T9" s="0" t="n">
        <v>2</v>
      </c>
      <c r="U9" s="0" t="n">
        <v>9</v>
      </c>
      <c r="V9" s="0" t="n">
        <v>36</v>
      </c>
      <c r="W9" s="0" t="n">
        <v>20</v>
      </c>
      <c r="X9" s="0" t="n">
        <v>0</v>
      </c>
      <c r="Y9" s="0" t="n">
        <v>11</v>
      </c>
      <c r="Z9" s="0" t="n">
        <v>45</v>
      </c>
      <c r="AA9" s="0" t="s">
        <v>135</v>
      </c>
      <c r="AB9" s="0" t="s">
        <v>172</v>
      </c>
      <c r="AC9" s="0" t="s">
        <v>143</v>
      </c>
      <c r="AD9" s="0" t="n">
        <v>7</v>
      </c>
      <c r="AE9" s="0" t="s">
        <v>215</v>
      </c>
      <c r="AF9" s="0" t="s">
        <v>140</v>
      </c>
      <c r="AG9" s="0" t="s">
        <v>160</v>
      </c>
      <c r="AH9" s="0" t="n">
        <v>2</v>
      </c>
      <c r="AI9" s="0" t="n">
        <v>19</v>
      </c>
      <c r="AJ9" s="0" t="s">
        <v>141</v>
      </c>
      <c r="AK9" s="0" t="s">
        <v>142</v>
      </c>
      <c r="AL9" s="0" t="n">
        <v>2</v>
      </c>
      <c r="AM9" s="0" t="s">
        <v>143</v>
      </c>
      <c r="AN9" s="0" t="s">
        <v>137</v>
      </c>
      <c r="AO9" s="0" t="n">
        <v>6</v>
      </c>
      <c r="AP9" s="0" t="n">
        <v>8</v>
      </c>
      <c r="AQ9" s="0" t="s">
        <v>203</v>
      </c>
      <c r="AR9" s="0" t="n">
        <v>4</v>
      </c>
      <c r="AS9" s="0" t="n">
        <v>0</v>
      </c>
      <c r="AT9" s="0" t="n">
        <v>0</v>
      </c>
      <c r="AU9" s="0" t="n">
        <v>0</v>
      </c>
      <c r="AV9" s="0" t="n">
        <v>4.95</v>
      </c>
      <c r="AW9" s="0" t="n">
        <v>60</v>
      </c>
      <c r="AX9" s="0" t="n">
        <v>98</v>
      </c>
      <c r="AY9" s="0" t="n">
        <v>4.93</v>
      </c>
      <c r="AZ9" s="0" t="n">
        <v>9</v>
      </c>
      <c r="BA9" s="0" t="s">
        <v>163</v>
      </c>
      <c r="BB9" s="0" t="s">
        <v>146</v>
      </c>
      <c r="BC9" s="0" t="s">
        <v>40</v>
      </c>
      <c r="BD9" s="0" t="s">
        <v>148</v>
      </c>
      <c r="BE9" s="0" t="s">
        <v>149</v>
      </c>
      <c r="BF9" s="31" t="n">
        <v>46096.4205265741</v>
      </c>
      <c r="BG9" s="0" t="s">
        <v>143</v>
      </c>
    </row>
    <row r="10" customFormat="false" ht="15" hidden="false" customHeight="false" outlineLevel="0" collapsed="false">
      <c r="A10" s="0" t="s">
        <v>216</v>
      </c>
      <c r="B10" s="0" t="s">
        <v>217</v>
      </c>
      <c r="C10" s="0" t="s">
        <v>218</v>
      </c>
      <c r="D10" s="0" t="s">
        <v>219</v>
      </c>
      <c r="E10" s="0" t="s">
        <v>37</v>
      </c>
      <c r="F10" s="0" t="s">
        <v>33</v>
      </c>
      <c r="G10" s="0" t="s">
        <v>198</v>
      </c>
      <c r="H10" s="31" t="n">
        <v>42984</v>
      </c>
      <c r="I10" s="0" t="n">
        <v>20</v>
      </c>
      <c r="J10" s="0" t="s">
        <v>220</v>
      </c>
      <c r="K10" s="0" t="s">
        <v>131</v>
      </c>
      <c r="L10" s="0" t="s">
        <v>221</v>
      </c>
      <c r="M10" s="0" t="s">
        <v>158</v>
      </c>
      <c r="N10" s="0" t="n">
        <v>1</v>
      </c>
      <c r="O10" s="0" t="s">
        <v>134</v>
      </c>
      <c r="P10" s="0" t="n">
        <v>4</v>
      </c>
      <c r="Q10" s="0" t="n">
        <v>4</v>
      </c>
      <c r="R10" s="0" t="n">
        <v>5</v>
      </c>
      <c r="S10" s="0" t="n">
        <v>3</v>
      </c>
      <c r="T10" s="0" t="n">
        <v>0</v>
      </c>
      <c r="U10" s="0" t="n">
        <v>8</v>
      </c>
      <c r="V10" s="0" t="n">
        <v>32</v>
      </c>
      <c r="W10" s="0" t="n">
        <v>20</v>
      </c>
      <c r="X10" s="0" t="n">
        <v>0</v>
      </c>
      <c r="Y10" s="0" t="n">
        <v>12</v>
      </c>
      <c r="Z10" s="0" t="n">
        <v>40</v>
      </c>
      <c r="AA10" s="0" t="s">
        <v>135</v>
      </c>
      <c r="AB10" s="0" t="s">
        <v>172</v>
      </c>
      <c r="AC10" s="0" t="s">
        <v>143</v>
      </c>
      <c r="AD10" s="0" t="n">
        <v>10</v>
      </c>
      <c r="AE10" s="0" t="s">
        <v>138</v>
      </c>
      <c r="AF10" s="0" t="s">
        <v>173</v>
      </c>
      <c r="AG10" s="0" t="s">
        <v>160</v>
      </c>
      <c r="AH10" s="0" t="n">
        <v>1</v>
      </c>
      <c r="AI10" s="0" t="n">
        <v>7</v>
      </c>
      <c r="AJ10" s="0" t="s">
        <v>185</v>
      </c>
      <c r="AK10" s="0" t="s">
        <v>162</v>
      </c>
      <c r="AL10" s="0" t="n">
        <v>5</v>
      </c>
      <c r="AM10" s="0" t="s">
        <v>137</v>
      </c>
      <c r="AN10" s="0" t="s">
        <v>143</v>
      </c>
      <c r="AO10" s="0" t="n">
        <v>10</v>
      </c>
      <c r="AP10" s="0" t="n">
        <v>7</v>
      </c>
      <c r="AQ10" s="0" t="s">
        <v>144</v>
      </c>
      <c r="AR10" s="0" t="n">
        <v>0</v>
      </c>
      <c r="AS10" s="0" t="n">
        <v>2</v>
      </c>
      <c r="AT10" s="0" t="n">
        <v>3</v>
      </c>
      <c r="AU10" s="0" t="n">
        <v>3</v>
      </c>
      <c r="AV10" s="0" t="n">
        <v>3.05</v>
      </c>
      <c r="AW10" s="0" t="n">
        <v>69</v>
      </c>
      <c r="AX10" s="0" t="n">
        <v>98</v>
      </c>
      <c r="AY10" s="0" t="n">
        <v>3.98</v>
      </c>
      <c r="AZ10" s="0" t="n">
        <v>11</v>
      </c>
      <c r="BA10" s="0" t="s">
        <v>163</v>
      </c>
      <c r="BB10" s="0" t="s">
        <v>146</v>
      </c>
      <c r="BC10" s="0" t="s">
        <v>40</v>
      </c>
      <c r="BD10" s="0" t="s">
        <v>164</v>
      </c>
      <c r="BE10" s="0" t="s">
        <v>149</v>
      </c>
      <c r="BF10" s="31" t="n">
        <v>46096.4205265741</v>
      </c>
      <c r="BG10" s="0" t="s">
        <v>137</v>
      </c>
    </row>
    <row r="11" customFormat="false" ht="15" hidden="false" customHeight="false" outlineLevel="0" collapsed="false">
      <c r="A11" s="0" t="s">
        <v>222</v>
      </c>
      <c r="B11" s="0" t="s">
        <v>223</v>
      </c>
      <c r="C11" s="0" t="s">
        <v>224</v>
      </c>
      <c r="D11" s="0" t="s">
        <v>225</v>
      </c>
      <c r="E11" s="0" t="s">
        <v>37</v>
      </c>
      <c r="F11" s="0" t="s">
        <v>23</v>
      </c>
      <c r="G11" s="0" t="s">
        <v>198</v>
      </c>
      <c r="H11" s="31" t="n">
        <v>44950</v>
      </c>
      <c r="I11" s="0" t="n">
        <v>17</v>
      </c>
      <c r="J11" s="0" t="s">
        <v>220</v>
      </c>
      <c r="K11" s="0" t="s">
        <v>191</v>
      </c>
      <c r="L11" s="0" t="s">
        <v>226</v>
      </c>
      <c r="M11" s="0" t="s">
        <v>201</v>
      </c>
      <c r="N11" s="0" t="n">
        <v>3</v>
      </c>
      <c r="O11" s="0" t="s">
        <v>182</v>
      </c>
      <c r="P11" s="0" t="n">
        <v>2</v>
      </c>
      <c r="Q11" s="0" t="n">
        <v>3</v>
      </c>
      <c r="R11" s="0" t="n">
        <v>5</v>
      </c>
      <c r="S11" s="0" t="n">
        <v>1</v>
      </c>
      <c r="T11" s="0" t="n">
        <v>0</v>
      </c>
      <c r="U11" s="0" t="n">
        <v>6</v>
      </c>
      <c r="V11" s="0" t="n">
        <v>24</v>
      </c>
      <c r="W11" s="0" t="n">
        <v>20</v>
      </c>
      <c r="X11" s="0" t="n">
        <v>0</v>
      </c>
      <c r="Y11" s="0" t="n">
        <v>14</v>
      </c>
      <c r="Z11" s="0" t="n">
        <v>30</v>
      </c>
      <c r="AA11" s="0" t="s">
        <v>135</v>
      </c>
      <c r="AB11" s="0" t="s">
        <v>136</v>
      </c>
      <c r="AC11" s="0" t="s">
        <v>137</v>
      </c>
      <c r="AD11" s="0" t="n">
        <v>5</v>
      </c>
      <c r="AE11" s="0" t="s">
        <v>138</v>
      </c>
      <c r="AF11" s="0" t="s">
        <v>173</v>
      </c>
      <c r="AG11" s="0" t="s">
        <v>160</v>
      </c>
      <c r="AH11" s="0" t="n">
        <v>1</v>
      </c>
      <c r="AI11" s="0" t="n">
        <v>17</v>
      </c>
      <c r="AJ11" s="0" t="s">
        <v>185</v>
      </c>
      <c r="AK11" s="0" t="s">
        <v>162</v>
      </c>
      <c r="AL11" s="0" t="n">
        <v>4</v>
      </c>
      <c r="AM11" s="0" t="s">
        <v>137</v>
      </c>
      <c r="AN11" s="0" t="s">
        <v>143</v>
      </c>
      <c r="AO11" s="0" t="n">
        <v>6</v>
      </c>
      <c r="AP11" s="0" t="n">
        <v>5</v>
      </c>
      <c r="AQ11" s="0" t="s">
        <v>144</v>
      </c>
      <c r="AR11" s="0" t="n">
        <v>2</v>
      </c>
      <c r="AS11" s="0" t="n">
        <v>5</v>
      </c>
      <c r="AT11" s="0" t="n">
        <v>0</v>
      </c>
      <c r="AU11" s="0" t="n">
        <v>4</v>
      </c>
      <c r="AV11" s="0" t="n">
        <v>4.51</v>
      </c>
      <c r="AW11" s="0" t="n">
        <v>81</v>
      </c>
      <c r="AX11" s="0" t="n">
        <v>96</v>
      </c>
      <c r="AY11" s="0" t="n">
        <v>4.65</v>
      </c>
      <c r="AZ11" s="0" t="n">
        <v>5</v>
      </c>
      <c r="BA11" s="0" t="s">
        <v>163</v>
      </c>
      <c r="BB11" s="0" t="s">
        <v>146</v>
      </c>
      <c r="BC11" s="0" t="s">
        <v>40</v>
      </c>
      <c r="BD11" s="0" t="s">
        <v>164</v>
      </c>
      <c r="BE11" s="0" t="s">
        <v>176</v>
      </c>
      <c r="BF11" s="31" t="n">
        <v>46096.4205265741</v>
      </c>
      <c r="BG11" s="0" t="s">
        <v>137</v>
      </c>
    </row>
    <row r="12" customFormat="false" ht="15" hidden="false" customHeight="false" outlineLevel="0" collapsed="false">
      <c r="A12" s="0" t="s">
        <v>227</v>
      </c>
      <c r="B12" s="0" t="s">
        <v>228</v>
      </c>
      <c r="C12" s="0" t="s">
        <v>229</v>
      </c>
      <c r="D12" s="0" t="s">
        <v>230</v>
      </c>
      <c r="E12" s="0" t="s">
        <v>22</v>
      </c>
      <c r="F12" s="0" t="s">
        <v>28</v>
      </c>
      <c r="G12" s="0" t="s">
        <v>129</v>
      </c>
      <c r="H12" s="31" t="n">
        <v>44558</v>
      </c>
      <c r="I12" s="0" t="n">
        <v>8</v>
      </c>
      <c r="J12" s="0" t="s">
        <v>130</v>
      </c>
      <c r="K12" s="0" t="s">
        <v>191</v>
      </c>
      <c r="L12" s="0" t="s">
        <v>231</v>
      </c>
      <c r="M12" s="0" t="s">
        <v>201</v>
      </c>
      <c r="N12" s="0" t="n">
        <v>4</v>
      </c>
      <c r="O12" s="0" t="s">
        <v>134</v>
      </c>
      <c r="P12" s="0" t="n">
        <v>4</v>
      </c>
      <c r="Q12" s="0" t="n">
        <v>3</v>
      </c>
      <c r="R12" s="0" t="n">
        <v>6</v>
      </c>
      <c r="S12" s="0" t="n">
        <v>3</v>
      </c>
      <c r="T12" s="0" t="n">
        <v>0</v>
      </c>
      <c r="U12" s="0" t="n">
        <v>9</v>
      </c>
      <c r="V12" s="0" t="n">
        <v>36</v>
      </c>
      <c r="W12" s="0" t="n">
        <v>20</v>
      </c>
      <c r="X12" s="0" t="n">
        <v>0</v>
      </c>
      <c r="Y12" s="0" t="n">
        <v>11</v>
      </c>
      <c r="Z12" s="0" t="n">
        <v>45</v>
      </c>
      <c r="AA12" s="0" t="s">
        <v>135</v>
      </c>
      <c r="AB12" s="0" t="s">
        <v>172</v>
      </c>
      <c r="AC12" s="0" t="s">
        <v>137</v>
      </c>
      <c r="AD12" s="0" t="n">
        <v>4</v>
      </c>
      <c r="AE12" s="0" t="s">
        <v>215</v>
      </c>
      <c r="AF12" s="0" t="s">
        <v>160</v>
      </c>
      <c r="AG12" s="0" t="s">
        <v>202</v>
      </c>
      <c r="AH12" s="0" t="n">
        <v>2</v>
      </c>
      <c r="AI12" s="0" t="n">
        <v>7</v>
      </c>
      <c r="AJ12" s="0" t="s">
        <v>174</v>
      </c>
      <c r="AK12" s="0" t="s">
        <v>142</v>
      </c>
      <c r="AL12" s="0" t="n">
        <v>10</v>
      </c>
      <c r="AM12" s="0" t="s">
        <v>143</v>
      </c>
      <c r="AN12" s="0" t="s">
        <v>143</v>
      </c>
      <c r="AO12" s="0" t="n">
        <v>1</v>
      </c>
      <c r="AP12" s="0" t="n">
        <v>2</v>
      </c>
      <c r="AQ12" s="0" t="s">
        <v>175</v>
      </c>
      <c r="AR12" s="0" t="n">
        <v>0</v>
      </c>
      <c r="AS12" s="0" t="n">
        <v>1</v>
      </c>
      <c r="AT12" s="0" t="n">
        <v>3</v>
      </c>
      <c r="AU12" s="0" t="n">
        <v>3</v>
      </c>
      <c r="AV12" s="0" t="n">
        <v>4.27</v>
      </c>
      <c r="AW12" s="0" t="n">
        <v>63</v>
      </c>
      <c r="AX12" s="0" t="n">
        <v>99</v>
      </c>
      <c r="AY12" s="0" t="n">
        <v>4.61</v>
      </c>
      <c r="AZ12" s="0" t="n">
        <v>12</v>
      </c>
      <c r="BA12" s="0" t="s">
        <v>145</v>
      </c>
      <c r="BB12" s="0" t="s">
        <v>146</v>
      </c>
      <c r="BC12" s="0" t="s">
        <v>186</v>
      </c>
      <c r="BD12" s="0" t="s">
        <v>164</v>
      </c>
      <c r="BE12" s="0" t="s">
        <v>149</v>
      </c>
      <c r="BF12" s="31" t="n">
        <v>46096.4205265741</v>
      </c>
      <c r="BG12" s="0" t="s">
        <v>137</v>
      </c>
    </row>
    <row r="13" customFormat="false" ht="15" hidden="false" customHeight="false" outlineLevel="0" collapsed="false">
      <c r="A13" s="0" t="s">
        <v>232</v>
      </c>
      <c r="B13" s="0" t="s">
        <v>233</v>
      </c>
      <c r="C13" s="0" t="s">
        <v>234</v>
      </c>
      <c r="D13" s="0" t="s">
        <v>235</v>
      </c>
      <c r="E13" s="0" t="s">
        <v>32</v>
      </c>
      <c r="F13" s="0" t="s">
        <v>28</v>
      </c>
      <c r="G13" s="0" t="s">
        <v>129</v>
      </c>
      <c r="H13" s="31" t="n">
        <v>42832</v>
      </c>
      <c r="I13" s="0" t="n">
        <v>1</v>
      </c>
      <c r="J13" s="0" t="s">
        <v>155</v>
      </c>
      <c r="K13" s="0" t="s">
        <v>199</v>
      </c>
      <c r="L13" s="0" t="s">
        <v>236</v>
      </c>
      <c r="M13" s="0" t="s">
        <v>158</v>
      </c>
      <c r="N13" s="0" t="n">
        <v>5</v>
      </c>
      <c r="O13" s="0" t="s">
        <v>171</v>
      </c>
      <c r="P13" s="0" t="n">
        <v>2</v>
      </c>
      <c r="Q13" s="0" t="n">
        <v>4</v>
      </c>
      <c r="R13" s="0" t="n">
        <v>4</v>
      </c>
      <c r="S13" s="0" t="n">
        <v>1</v>
      </c>
      <c r="T13" s="0" t="n">
        <v>0</v>
      </c>
      <c r="U13" s="0" t="n">
        <v>5</v>
      </c>
      <c r="V13" s="0" t="n">
        <v>20</v>
      </c>
      <c r="W13" s="0" t="n">
        <v>20</v>
      </c>
      <c r="X13" s="0" t="n">
        <v>0</v>
      </c>
      <c r="Y13" s="0" t="n">
        <v>15</v>
      </c>
      <c r="Z13" s="0" t="n">
        <v>25</v>
      </c>
      <c r="AA13" s="0" t="s">
        <v>135</v>
      </c>
      <c r="AB13" s="0" t="s">
        <v>172</v>
      </c>
      <c r="AC13" s="0" t="s">
        <v>137</v>
      </c>
      <c r="AD13" s="0" t="n">
        <v>5</v>
      </c>
      <c r="AE13" s="0" t="s">
        <v>183</v>
      </c>
      <c r="AF13" s="0" t="s">
        <v>202</v>
      </c>
      <c r="AG13" s="0" t="s">
        <v>184</v>
      </c>
      <c r="AH13" s="0" t="n">
        <v>1</v>
      </c>
      <c r="AI13" s="0" t="n">
        <v>7</v>
      </c>
      <c r="AJ13" s="0" t="s">
        <v>174</v>
      </c>
      <c r="AK13" s="0" t="s">
        <v>162</v>
      </c>
      <c r="AL13" s="0" t="n">
        <v>8</v>
      </c>
      <c r="AM13" s="0" t="s">
        <v>143</v>
      </c>
      <c r="AN13" s="0" t="s">
        <v>143</v>
      </c>
      <c r="AO13" s="0" t="n">
        <v>4</v>
      </c>
      <c r="AP13" s="0" t="n">
        <v>4</v>
      </c>
      <c r="AQ13" s="0" t="s">
        <v>237</v>
      </c>
      <c r="AR13" s="0" t="n">
        <v>3</v>
      </c>
      <c r="AS13" s="0" t="n">
        <v>2</v>
      </c>
      <c r="AT13" s="0" t="n">
        <v>4</v>
      </c>
      <c r="AU13" s="0" t="n">
        <v>6</v>
      </c>
      <c r="AV13" s="0" t="n">
        <v>4.04</v>
      </c>
      <c r="AW13" s="0" t="n">
        <v>60</v>
      </c>
      <c r="AX13" s="0" t="n">
        <v>92</v>
      </c>
      <c r="AY13" s="0" t="n">
        <v>4.32</v>
      </c>
      <c r="AZ13" s="0" t="n">
        <v>12</v>
      </c>
      <c r="BA13" s="0" t="s">
        <v>163</v>
      </c>
      <c r="BB13" s="0" t="s">
        <v>146</v>
      </c>
      <c r="BC13" s="0" t="s">
        <v>40</v>
      </c>
      <c r="BD13" s="0" t="s">
        <v>164</v>
      </c>
      <c r="BE13" s="0" t="s">
        <v>176</v>
      </c>
      <c r="BF13" s="31" t="n">
        <v>46096.4205265741</v>
      </c>
      <c r="BG13" s="0" t="s">
        <v>137</v>
      </c>
    </row>
    <row r="14" customFormat="false" ht="15" hidden="false" customHeight="false" outlineLevel="0" collapsed="false">
      <c r="A14" s="0" t="s">
        <v>238</v>
      </c>
      <c r="B14" s="0" t="s">
        <v>239</v>
      </c>
      <c r="C14" s="0" t="s">
        <v>240</v>
      </c>
      <c r="D14" s="0" t="s">
        <v>241</v>
      </c>
      <c r="E14" s="0" t="s">
        <v>37</v>
      </c>
      <c r="F14" s="0" t="s">
        <v>33</v>
      </c>
      <c r="G14" s="0" t="s">
        <v>154</v>
      </c>
      <c r="H14" s="31" t="n">
        <v>42465</v>
      </c>
      <c r="I14" s="0" t="n">
        <v>5</v>
      </c>
      <c r="J14" s="0" t="s">
        <v>169</v>
      </c>
      <c r="K14" s="0" t="s">
        <v>242</v>
      </c>
      <c r="L14" s="0" t="s">
        <v>243</v>
      </c>
      <c r="M14" s="0" t="s">
        <v>158</v>
      </c>
      <c r="N14" s="0" t="n">
        <v>4</v>
      </c>
      <c r="O14" s="0" t="s">
        <v>182</v>
      </c>
      <c r="P14" s="0" t="n">
        <v>4</v>
      </c>
      <c r="Q14" s="0" t="n">
        <v>4</v>
      </c>
      <c r="R14" s="0" t="n">
        <v>2</v>
      </c>
      <c r="S14" s="0" t="n">
        <v>3</v>
      </c>
      <c r="T14" s="0" t="n">
        <v>0</v>
      </c>
      <c r="U14" s="0" t="n">
        <v>5</v>
      </c>
      <c r="V14" s="0" t="n">
        <v>20</v>
      </c>
      <c r="W14" s="0" t="n">
        <v>20</v>
      </c>
      <c r="X14" s="0" t="n">
        <v>0</v>
      </c>
      <c r="Y14" s="0" t="n">
        <v>15</v>
      </c>
      <c r="Z14" s="0" t="n">
        <v>25</v>
      </c>
      <c r="AA14" s="0" t="s">
        <v>135</v>
      </c>
      <c r="AB14" s="0" t="s">
        <v>136</v>
      </c>
      <c r="AC14" s="0" t="s">
        <v>143</v>
      </c>
      <c r="AD14" s="0" t="n">
        <v>7</v>
      </c>
      <c r="AE14" s="0" t="s">
        <v>159</v>
      </c>
      <c r="AF14" s="0" t="s">
        <v>140</v>
      </c>
      <c r="AG14" s="0" t="s">
        <v>160</v>
      </c>
      <c r="AH14" s="0" t="n">
        <v>2</v>
      </c>
      <c r="AI14" s="0" t="n">
        <v>10</v>
      </c>
      <c r="AJ14" s="0" t="s">
        <v>174</v>
      </c>
      <c r="AK14" s="0" t="s">
        <v>142</v>
      </c>
      <c r="AL14" s="0" t="n">
        <v>10</v>
      </c>
      <c r="AM14" s="0" t="s">
        <v>143</v>
      </c>
      <c r="AN14" s="0" t="s">
        <v>143</v>
      </c>
      <c r="AO14" s="0" t="n">
        <v>1</v>
      </c>
      <c r="AP14" s="0" t="n">
        <v>1</v>
      </c>
      <c r="AQ14" s="0" t="s">
        <v>144</v>
      </c>
      <c r="AR14" s="0" t="n">
        <v>5</v>
      </c>
      <c r="AS14" s="0" t="n">
        <v>0</v>
      </c>
      <c r="AT14" s="0" t="n">
        <v>2</v>
      </c>
      <c r="AU14" s="0" t="n">
        <v>5</v>
      </c>
      <c r="AV14" s="0" t="n">
        <v>3.32</v>
      </c>
      <c r="AW14" s="0" t="n">
        <v>79</v>
      </c>
      <c r="AX14" s="0" t="n">
        <v>99</v>
      </c>
      <c r="AY14" s="0" t="n">
        <v>4.13</v>
      </c>
      <c r="AZ14" s="0" t="n">
        <v>9</v>
      </c>
      <c r="BA14" s="0" t="s">
        <v>145</v>
      </c>
      <c r="BB14" s="0" t="s">
        <v>146</v>
      </c>
      <c r="BC14" s="0" t="s">
        <v>147</v>
      </c>
      <c r="BD14" s="0" t="s">
        <v>148</v>
      </c>
      <c r="BE14" s="0" t="s">
        <v>149</v>
      </c>
      <c r="BF14" s="31" t="n">
        <v>46096.4205265741</v>
      </c>
      <c r="BG14" s="0" t="s">
        <v>143</v>
      </c>
    </row>
    <row r="15" customFormat="false" ht="15" hidden="false" customHeight="false" outlineLevel="0" collapsed="false">
      <c r="A15" s="0" t="s">
        <v>244</v>
      </c>
      <c r="B15" s="0" t="s">
        <v>245</v>
      </c>
      <c r="C15" s="0" t="s">
        <v>246</v>
      </c>
      <c r="D15" s="0" t="s">
        <v>247</v>
      </c>
      <c r="E15" s="0" t="s">
        <v>27</v>
      </c>
      <c r="F15" s="0" t="s">
        <v>23</v>
      </c>
      <c r="G15" s="0" t="s">
        <v>129</v>
      </c>
      <c r="H15" s="31" t="n">
        <v>44542</v>
      </c>
      <c r="I15" s="0" t="n">
        <v>20</v>
      </c>
      <c r="J15" s="0" t="s">
        <v>169</v>
      </c>
      <c r="K15" s="0" t="s">
        <v>199</v>
      </c>
      <c r="L15" s="0" t="s">
        <v>248</v>
      </c>
      <c r="M15" s="0" t="s">
        <v>158</v>
      </c>
      <c r="N15" s="0" t="n">
        <v>6</v>
      </c>
      <c r="O15" s="0" t="s">
        <v>134</v>
      </c>
      <c r="P15" s="0" t="n">
        <v>3</v>
      </c>
      <c r="Q15" s="0" t="n">
        <v>2</v>
      </c>
      <c r="R15" s="0" t="n">
        <v>3</v>
      </c>
      <c r="S15" s="0" t="n">
        <v>2</v>
      </c>
      <c r="T15" s="0" t="n">
        <v>1</v>
      </c>
      <c r="U15" s="0" t="n">
        <v>6</v>
      </c>
      <c r="V15" s="0" t="n">
        <v>24</v>
      </c>
      <c r="W15" s="0" t="n">
        <v>20</v>
      </c>
      <c r="X15" s="0" t="n">
        <v>0</v>
      </c>
      <c r="Y15" s="0" t="n">
        <v>14</v>
      </c>
      <c r="Z15" s="0" t="n">
        <v>30</v>
      </c>
      <c r="AA15" s="0" t="s">
        <v>135</v>
      </c>
      <c r="AB15" s="0" t="s">
        <v>172</v>
      </c>
      <c r="AC15" s="0" t="s">
        <v>137</v>
      </c>
      <c r="AD15" s="0" t="n">
        <v>6</v>
      </c>
      <c r="AE15" s="0" t="s">
        <v>249</v>
      </c>
      <c r="AF15" s="0" t="s">
        <v>160</v>
      </c>
      <c r="AG15" s="0" t="s">
        <v>161</v>
      </c>
      <c r="AH15" s="0" t="n">
        <v>1</v>
      </c>
      <c r="AI15" s="0" t="n">
        <v>13</v>
      </c>
      <c r="AJ15" s="0" t="s">
        <v>250</v>
      </c>
      <c r="AK15" s="0" t="s">
        <v>162</v>
      </c>
      <c r="AL15" s="0" t="n">
        <v>4</v>
      </c>
      <c r="AM15" s="0" t="s">
        <v>143</v>
      </c>
      <c r="AN15" s="0" t="s">
        <v>137</v>
      </c>
      <c r="AO15" s="0" t="n">
        <v>9</v>
      </c>
      <c r="AP15" s="0" t="n">
        <v>3</v>
      </c>
      <c r="AQ15" s="0" t="s">
        <v>175</v>
      </c>
      <c r="AR15" s="0" t="n">
        <v>0</v>
      </c>
      <c r="AS15" s="0" t="n">
        <v>1</v>
      </c>
      <c r="AT15" s="0" t="n">
        <v>5</v>
      </c>
      <c r="AU15" s="0" t="n">
        <v>7</v>
      </c>
      <c r="AV15" s="0" t="n">
        <v>4.94</v>
      </c>
      <c r="AW15" s="0" t="n">
        <v>64</v>
      </c>
      <c r="AX15" s="0" t="n">
        <v>87</v>
      </c>
      <c r="AY15" s="0" t="n">
        <v>4.64</v>
      </c>
      <c r="AZ15" s="0" t="n">
        <v>12</v>
      </c>
      <c r="BA15" s="0" t="s">
        <v>163</v>
      </c>
      <c r="BB15" s="0" t="s">
        <v>146</v>
      </c>
      <c r="BC15" s="0" t="s">
        <v>147</v>
      </c>
      <c r="BD15" s="0" t="s">
        <v>164</v>
      </c>
      <c r="BE15" s="0" t="s">
        <v>149</v>
      </c>
      <c r="BF15" s="31" t="n">
        <v>46096.4205265741</v>
      </c>
      <c r="BG15" s="0" t="s">
        <v>137</v>
      </c>
    </row>
    <row r="16" customFormat="false" ht="15" hidden="false" customHeight="false" outlineLevel="0" collapsed="false">
      <c r="A16" s="0" t="s">
        <v>251</v>
      </c>
      <c r="B16" s="0" t="s">
        <v>252</v>
      </c>
      <c r="C16" s="0" t="s">
        <v>253</v>
      </c>
      <c r="D16" s="0" t="s">
        <v>254</v>
      </c>
      <c r="E16" s="0" t="s">
        <v>22</v>
      </c>
      <c r="F16" s="0" t="s">
        <v>23</v>
      </c>
      <c r="G16" s="0" t="s">
        <v>154</v>
      </c>
      <c r="H16" s="31" t="n">
        <v>44467</v>
      </c>
      <c r="I16" s="0" t="n">
        <v>13</v>
      </c>
      <c r="J16" s="0" t="s">
        <v>130</v>
      </c>
      <c r="K16" s="0" t="s">
        <v>131</v>
      </c>
      <c r="L16" s="0" t="s">
        <v>255</v>
      </c>
      <c r="M16" s="0" t="s">
        <v>158</v>
      </c>
      <c r="N16" s="0" t="n">
        <v>2</v>
      </c>
      <c r="O16" s="0" t="s">
        <v>182</v>
      </c>
      <c r="P16" s="0" t="n">
        <v>3</v>
      </c>
      <c r="Q16" s="0" t="n">
        <v>3</v>
      </c>
      <c r="R16" s="0" t="n">
        <v>5</v>
      </c>
      <c r="S16" s="0" t="n">
        <v>0</v>
      </c>
      <c r="T16" s="0" t="n">
        <v>1</v>
      </c>
      <c r="U16" s="0" t="n">
        <v>6</v>
      </c>
      <c r="V16" s="0" t="n">
        <v>24</v>
      </c>
      <c r="W16" s="0" t="n">
        <v>20</v>
      </c>
      <c r="X16" s="0" t="n">
        <v>0</v>
      </c>
      <c r="Y16" s="0" t="n">
        <v>14</v>
      </c>
      <c r="Z16" s="0" t="n">
        <v>30</v>
      </c>
      <c r="AA16" s="0" t="s">
        <v>135</v>
      </c>
      <c r="AB16" s="0" t="s">
        <v>136</v>
      </c>
      <c r="AC16" s="0" t="s">
        <v>137</v>
      </c>
      <c r="AD16" s="0" t="n">
        <v>10</v>
      </c>
      <c r="AE16" s="0" t="s">
        <v>183</v>
      </c>
      <c r="AF16" s="0" t="s">
        <v>202</v>
      </c>
      <c r="AG16" s="0" t="s">
        <v>184</v>
      </c>
      <c r="AH16" s="0" t="n">
        <v>1</v>
      </c>
      <c r="AI16" s="0" t="n">
        <v>19</v>
      </c>
      <c r="AJ16" s="0" t="s">
        <v>250</v>
      </c>
      <c r="AK16" s="0" t="s">
        <v>142</v>
      </c>
      <c r="AL16" s="0" t="n">
        <v>3</v>
      </c>
      <c r="AM16" s="0" t="s">
        <v>143</v>
      </c>
      <c r="AN16" s="0" t="s">
        <v>143</v>
      </c>
      <c r="AO16" s="0" t="n">
        <v>0</v>
      </c>
      <c r="AP16" s="0" t="n">
        <v>5</v>
      </c>
      <c r="AQ16" s="0" t="s">
        <v>175</v>
      </c>
      <c r="AR16" s="0" t="n">
        <v>0</v>
      </c>
      <c r="AS16" s="0" t="n">
        <v>4</v>
      </c>
      <c r="AT16" s="0" t="n">
        <v>3</v>
      </c>
      <c r="AU16" s="0" t="n">
        <v>3</v>
      </c>
      <c r="AV16" s="0" t="n">
        <v>4.35</v>
      </c>
      <c r="AW16" s="0" t="n">
        <v>81</v>
      </c>
      <c r="AX16" s="0" t="n">
        <v>73</v>
      </c>
      <c r="AY16" s="0" t="n">
        <v>4</v>
      </c>
      <c r="AZ16" s="0" t="n">
        <v>18</v>
      </c>
      <c r="BA16" s="0" t="s">
        <v>163</v>
      </c>
      <c r="BB16" s="0" t="s">
        <v>146</v>
      </c>
      <c r="BC16" s="0" t="s">
        <v>186</v>
      </c>
      <c r="BD16" s="0" t="s">
        <v>164</v>
      </c>
      <c r="BE16" s="0" t="s">
        <v>149</v>
      </c>
      <c r="BF16" s="31" t="n">
        <v>46096.4205265741</v>
      </c>
      <c r="BG16" s="0" t="s">
        <v>143</v>
      </c>
    </row>
    <row r="17" customFormat="false" ht="15" hidden="false" customHeight="false" outlineLevel="0" collapsed="false">
      <c r="A17" s="0" t="s">
        <v>256</v>
      </c>
      <c r="B17" s="0" t="s">
        <v>257</v>
      </c>
      <c r="C17" s="0" t="s">
        <v>258</v>
      </c>
      <c r="D17" s="0" t="s">
        <v>259</v>
      </c>
      <c r="E17" s="0" t="s">
        <v>32</v>
      </c>
      <c r="F17" s="0" t="s">
        <v>23</v>
      </c>
      <c r="G17" s="0" t="s">
        <v>198</v>
      </c>
      <c r="H17" s="31" t="n">
        <v>42291</v>
      </c>
      <c r="I17" s="0" t="n">
        <v>15</v>
      </c>
      <c r="J17" s="0" t="s">
        <v>130</v>
      </c>
      <c r="K17" s="0" t="s">
        <v>199</v>
      </c>
      <c r="L17" s="0" t="s">
        <v>260</v>
      </c>
      <c r="M17" s="0" t="s">
        <v>133</v>
      </c>
      <c r="N17" s="0" t="n">
        <v>1</v>
      </c>
      <c r="O17" s="0" t="s">
        <v>134</v>
      </c>
      <c r="P17" s="0" t="n">
        <v>1</v>
      </c>
      <c r="Q17" s="0" t="n">
        <v>4</v>
      </c>
      <c r="R17" s="0" t="n">
        <v>2</v>
      </c>
      <c r="S17" s="0" t="n">
        <v>2</v>
      </c>
      <c r="T17" s="0" t="n">
        <v>0</v>
      </c>
      <c r="U17" s="0" t="n">
        <v>4</v>
      </c>
      <c r="V17" s="0" t="n">
        <v>16</v>
      </c>
      <c r="W17" s="0" t="n">
        <v>20</v>
      </c>
      <c r="X17" s="0" t="n">
        <v>0</v>
      </c>
      <c r="Y17" s="0" t="n">
        <v>16</v>
      </c>
      <c r="Z17" s="0" t="n">
        <v>20</v>
      </c>
      <c r="AA17" s="0" t="s">
        <v>135</v>
      </c>
      <c r="AB17" s="0" t="s">
        <v>172</v>
      </c>
      <c r="AC17" s="0" t="s">
        <v>143</v>
      </c>
      <c r="AD17" s="0" t="n">
        <v>4</v>
      </c>
      <c r="AE17" s="0" t="s">
        <v>183</v>
      </c>
      <c r="AF17" s="0" t="s">
        <v>139</v>
      </c>
      <c r="AG17" s="0" t="s">
        <v>209</v>
      </c>
      <c r="AH17" s="0" t="n">
        <v>1</v>
      </c>
      <c r="AI17" s="0" t="n">
        <v>11</v>
      </c>
      <c r="AJ17" s="0" t="s">
        <v>193</v>
      </c>
      <c r="AK17" s="0" t="s">
        <v>162</v>
      </c>
      <c r="AL17" s="0" t="n">
        <v>9</v>
      </c>
      <c r="AM17" s="0" t="s">
        <v>137</v>
      </c>
      <c r="AN17" s="0" t="s">
        <v>143</v>
      </c>
      <c r="AO17" s="0" t="n">
        <v>6</v>
      </c>
      <c r="AP17" s="0" t="n">
        <v>8</v>
      </c>
      <c r="AQ17" s="0" t="s">
        <v>175</v>
      </c>
      <c r="AR17" s="0" t="n">
        <v>0</v>
      </c>
      <c r="AS17" s="0" t="n">
        <v>5</v>
      </c>
      <c r="AT17" s="0" t="n">
        <v>4</v>
      </c>
      <c r="AU17" s="0" t="n">
        <v>8</v>
      </c>
      <c r="AV17" s="0" t="n">
        <v>3.99</v>
      </c>
      <c r="AW17" s="0" t="n">
        <v>82</v>
      </c>
      <c r="AX17" s="0" t="n">
        <v>85</v>
      </c>
      <c r="AY17" s="0" t="n">
        <v>4.12</v>
      </c>
      <c r="AZ17" s="0" t="n">
        <v>10</v>
      </c>
      <c r="BA17" s="0" t="s">
        <v>163</v>
      </c>
      <c r="BB17" s="0" t="s">
        <v>146</v>
      </c>
      <c r="BC17" s="0" t="s">
        <v>147</v>
      </c>
      <c r="BD17" s="0" t="s">
        <v>164</v>
      </c>
      <c r="BE17" s="0" t="s">
        <v>149</v>
      </c>
      <c r="BF17" s="31" t="n">
        <v>46096.4205265741</v>
      </c>
      <c r="BG17" s="0" t="s">
        <v>143</v>
      </c>
    </row>
    <row r="18" customFormat="false" ht="15" hidden="false" customHeight="false" outlineLevel="0" collapsed="false">
      <c r="A18" s="0" t="s">
        <v>261</v>
      </c>
      <c r="B18" s="0" t="s">
        <v>262</v>
      </c>
      <c r="C18" s="0" t="s">
        <v>263</v>
      </c>
      <c r="D18" s="0" t="s">
        <v>264</v>
      </c>
      <c r="E18" s="0" t="s">
        <v>27</v>
      </c>
      <c r="F18" s="0" t="s">
        <v>23</v>
      </c>
      <c r="G18" s="0" t="s">
        <v>154</v>
      </c>
      <c r="H18" s="31" t="n">
        <v>42981</v>
      </c>
      <c r="I18" s="0" t="n">
        <v>20</v>
      </c>
      <c r="J18" s="0" t="s">
        <v>169</v>
      </c>
      <c r="K18" s="0" t="s">
        <v>156</v>
      </c>
      <c r="L18" s="0" t="s">
        <v>265</v>
      </c>
      <c r="M18" s="0" t="s">
        <v>133</v>
      </c>
      <c r="N18" s="0" t="n">
        <v>1</v>
      </c>
      <c r="O18" s="0" t="s">
        <v>171</v>
      </c>
      <c r="P18" s="0" t="n">
        <v>1</v>
      </c>
      <c r="Q18" s="0" t="n">
        <v>4</v>
      </c>
      <c r="R18" s="0" t="n">
        <v>6</v>
      </c>
      <c r="S18" s="0" t="n">
        <v>0</v>
      </c>
      <c r="T18" s="0" t="n">
        <v>2</v>
      </c>
      <c r="U18" s="0" t="n">
        <v>8</v>
      </c>
      <c r="V18" s="0" t="n">
        <v>32</v>
      </c>
      <c r="W18" s="0" t="n">
        <v>20</v>
      </c>
      <c r="X18" s="0" t="n">
        <v>0</v>
      </c>
      <c r="Y18" s="0" t="n">
        <v>12</v>
      </c>
      <c r="Z18" s="0" t="n">
        <v>40</v>
      </c>
      <c r="AA18" s="0" t="s">
        <v>135</v>
      </c>
      <c r="AB18" s="0" t="s">
        <v>172</v>
      </c>
      <c r="AC18" s="0" t="s">
        <v>143</v>
      </c>
      <c r="AD18" s="0" t="n">
        <v>5</v>
      </c>
      <c r="AE18" s="0" t="s">
        <v>215</v>
      </c>
      <c r="AF18" s="0" t="s">
        <v>184</v>
      </c>
      <c r="AG18" s="0" t="s">
        <v>266</v>
      </c>
      <c r="AH18" s="0" t="n">
        <v>2</v>
      </c>
      <c r="AI18" s="0" t="n">
        <v>6</v>
      </c>
      <c r="AJ18" s="0" t="s">
        <v>174</v>
      </c>
      <c r="AK18" s="0" t="s">
        <v>162</v>
      </c>
      <c r="AL18" s="0" t="n">
        <v>3</v>
      </c>
      <c r="AM18" s="0" t="s">
        <v>137</v>
      </c>
      <c r="AN18" s="0" t="s">
        <v>143</v>
      </c>
      <c r="AO18" s="0" t="n">
        <v>1</v>
      </c>
      <c r="AP18" s="0" t="n">
        <v>6</v>
      </c>
      <c r="AQ18" s="0" t="s">
        <v>237</v>
      </c>
      <c r="AR18" s="0" t="n">
        <v>4</v>
      </c>
      <c r="AS18" s="0" t="n">
        <v>5</v>
      </c>
      <c r="AT18" s="0" t="n">
        <v>1</v>
      </c>
      <c r="AU18" s="0" t="n">
        <v>6</v>
      </c>
      <c r="AV18" s="0" t="n">
        <v>4.23</v>
      </c>
      <c r="AW18" s="0" t="n">
        <v>68</v>
      </c>
      <c r="AX18" s="0" t="n">
        <v>79</v>
      </c>
      <c r="AY18" s="0" t="n">
        <v>4.09</v>
      </c>
      <c r="AZ18" s="0" t="n">
        <v>3</v>
      </c>
      <c r="BA18" s="0" t="s">
        <v>145</v>
      </c>
      <c r="BB18" s="0" t="s">
        <v>146</v>
      </c>
      <c r="BC18" s="0" t="s">
        <v>40</v>
      </c>
      <c r="BD18" s="0" t="s">
        <v>164</v>
      </c>
      <c r="BE18" s="0" t="s">
        <v>176</v>
      </c>
      <c r="BF18" s="31" t="n">
        <v>46096.4205265741</v>
      </c>
      <c r="BG18" s="0" t="s">
        <v>137</v>
      </c>
    </row>
    <row r="19" customFormat="false" ht="15" hidden="false" customHeight="false" outlineLevel="0" collapsed="false">
      <c r="A19" s="0" t="s">
        <v>267</v>
      </c>
      <c r="B19" s="0" t="s">
        <v>268</v>
      </c>
      <c r="C19" s="0" t="s">
        <v>269</v>
      </c>
      <c r="D19" s="0" t="s">
        <v>270</v>
      </c>
      <c r="E19" s="0" t="s">
        <v>27</v>
      </c>
      <c r="F19" s="0" t="s">
        <v>33</v>
      </c>
      <c r="G19" s="0" t="s">
        <v>198</v>
      </c>
      <c r="H19" s="31" t="n">
        <v>44926</v>
      </c>
      <c r="I19" s="0" t="n">
        <v>13</v>
      </c>
      <c r="J19" s="0" t="s">
        <v>130</v>
      </c>
      <c r="K19" s="0" t="s">
        <v>242</v>
      </c>
      <c r="L19" s="0" t="s">
        <v>271</v>
      </c>
      <c r="M19" s="0" t="s">
        <v>133</v>
      </c>
      <c r="N19" s="0" t="n">
        <v>5</v>
      </c>
      <c r="O19" s="0" t="s">
        <v>171</v>
      </c>
      <c r="P19" s="0" t="n">
        <v>1</v>
      </c>
      <c r="Q19" s="0" t="n">
        <v>2</v>
      </c>
      <c r="R19" s="0" t="n">
        <v>3</v>
      </c>
      <c r="S19" s="0" t="n">
        <v>2</v>
      </c>
      <c r="T19" s="0" t="n">
        <v>2</v>
      </c>
      <c r="U19" s="0" t="n">
        <v>7</v>
      </c>
      <c r="V19" s="0" t="n">
        <v>28</v>
      </c>
      <c r="W19" s="0" t="n">
        <v>20</v>
      </c>
      <c r="X19" s="0" t="n">
        <v>0</v>
      </c>
      <c r="Y19" s="0" t="n">
        <v>13</v>
      </c>
      <c r="Z19" s="0" t="n">
        <v>35</v>
      </c>
      <c r="AA19" s="0" t="s">
        <v>135</v>
      </c>
      <c r="AB19" s="0" t="s">
        <v>136</v>
      </c>
      <c r="AC19" s="0" t="s">
        <v>143</v>
      </c>
      <c r="AD19" s="0" t="n">
        <v>6</v>
      </c>
      <c r="AE19" s="0" t="s">
        <v>249</v>
      </c>
      <c r="AF19" s="0" t="s">
        <v>173</v>
      </c>
      <c r="AG19" s="0" t="s">
        <v>160</v>
      </c>
      <c r="AH19" s="0" t="n">
        <v>1</v>
      </c>
      <c r="AI19" s="0" t="n">
        <v>5</v>
      </c>
      <c r="AJ19" s="0" t="s">
        <v>250</v>
      </c>
      <c r="AK19" s="0" t="s">
        <v>142</v>
      </c>
      <c r="AL19" s="0" t="n">
        <v>3</v>
      </c>
      <c r="AM19" s="0" t="s">
        <v>137</v>
      </c>
      <c r="AN19" s="0" t="s">
        <v>143</v>
      </c>
      <c r="AO19" s="0" t="n">
        <v>2</v>
      </c>
      <c r="AP19" s="0" t="n">
        <v>5</v>
      </c>
      <c r="AQ19" s="0" t="s">
        <v>175</v>
      </c>
      <c r="AR19" s="0" t="n">
        <v>3</v>
      </c>
      <c r="AS19" s="0" t="n">
        <v>2</v>
      </c>
      <c r="AT19" s="0" t="n">
        <v>4</v>
      </c>
      <c r="AU19" s="0" t="n">
        <v>0</v>
      </c>
      <c r="AV19" s="0" t="n">
        <v>3.24</v>
      </c>
      <c r="AW19" s="0" t="n">
        <v>63</v>
      </c>
      <c r="AX19" s="0" t="n">
        <v>99</v>
      </c>
      <c r="AY19" s="0" t="n">
        <v>4.1</v>
      </c>
      <c r="AZ19" s="0" t="n">
        <v>6</v>
      </c>
      <c r="BA19" s="0" t="s">
        <v>145</v>
      </c>
      <c r="BB19" s="0" t="s">
        <v>146</v>
      </c>
      <c r="BC19" s="0" t="s">
        <v>40</v>
      </c>
      <c r="BD19" s="0" t="s">
        <v>164</v>
      </c>
      <c r="BE19" s="0" t="s">
        <v>149</v>
      </c>
      <c r="BF19" s="31" t="n">
        <v>46096.4205265741</v>
      </c>
      <c r="BG19" s="0" t="s">
        <v>143</v>
      </c>
    </row>
    <row r="20" customFormat="false" ht="15" hidden="false" customHeight="false" outlineLevel="0" collapsed="false">
      <c r="A20" s="0" t="s">
        <v>272</v>
      </c>
      <c r="B20" s="0" t="s">
        <v>273</v>
      </c>
      <c r="C20" s="0" t="s">
        <v>274</v>
      </c>
      <c r="D20" s="0" t="s">
        <v>275</v>
      </c>
      <c r="E20" s="0" t="s">
        <v>39</v>
      </c>
      <c r="F20" s="0" t="s">
        <v>28</v>
      </c>
      <c r="G20" s="0" t="s">
        <v>198</v>
      </c>
      <c r="H20" s="31" t="n">
        <v>44871</v>
      </c>
      <c r="I20" s="0" t="n">
        <v>18</v>
      </c>
      <c r="J20" s="0" t="s">
        <v>220</v>
      </c>
      <c r="K20" s="0" t="s">
        <v>199</v>
      </c>
      <c r="L20" s="0" t="s">
        <v>276</v>
      </c>
      <c r="M20" s="0" t="s">
        <v>158</v>
      </c>
      <c r="N20" s="0" t="n">
        <v>4</v>
      </c>
      <c r="O20" s="0" t="s">
        <v>182</v>
      </c>
      <c r="P20" s="0" t="n">
        <v>4</v>
      </c>
      <c r="Q20" s="0" t="n">
        <v>5</v>
      </c>
      <c r="R20" s="0" t="n">
        <v>5</v>
      </c>
      <c r="S20" s="0" t="n">
        <v>1</v>
      </c>
      <c r="T20" s="0" t="n">
        <v>1</v>
      </c>
      <c r="U20" s="0" t="n">
        <v>7</v>
      </c>
      <c r="V20" s="0" t="n">
        <v>28</v>
      </c>
      <c r="W20" s="0" t="n">
        <v>20</v>
      </c>
      <c r="X20" s="0" t="n">
        <v>0</v>
      </c>
      <c r="Y20" s="0" t="n">
        <v>13</v>
      </c>
      <c r="Z20" s="0" t="n">
        <v>35</v>
      </c>
      <c r="AA20" s="0" t="s">
        <v>135</v>
      </c>
      <c r="AB20" s="0" t="s">
        <v>136</v>
      </c>
      <c r="AC20" s="0" t="s">
        <v>137</v>
      </c>
      <c r="AD20" s="0" t="n">
        <v>7</v>
      </c>
      <c r="AE20" s="0" t="s">
        <v>249</v>
      </c>
      <c r="AF20" s="0" t="s">
        <v>140</v>
      </c>
      <c r="AG20" s="0" t="s">
        <v>160</v>
      </c>
      <c r="AH20" s="0" t="n">
        <v>2</v>
      </c>
      <c r="AI20" s="0" t="n">
        <v>7</v>
      </c>
      <c r="AJ20" s="0" t="s">
        <v>185</v>
      </c>
      <c r="AK20" s="0" t="s">
        <v>162</v>
      </c>
      <c r="AL20" s="0" t="n">
        <v>1</v>
      </c>
      <c r="AM20" s="0" t="s">
        <v>143</v>
      </c>
      <c r="AN20" s="0" t="s">
        <v>143</v>
      </c>
      <c r="AO20" s="0" t="n">
        <v>4</v>
      </c>
      <c r="AP20" s="0" t="n">
        <v>3</v>
      </c>
      <c r="AQ20" s="0" t="s">
        <v>203</v>
      </c>
      <c r="AR20" s="0" t="n">
        <v>5</v>
      </c>
      <c r="AS20" s="0" t="n">
        <v>0</v>
      </c>
      <c r="AT20" s="0" t="n">
        <v>5</v>
      </c>
      <c r="AU20" s="0" t="n">
        <v>1</v>
      </c>
      <c r="AV20" s="0" t="n">
        <v>4.53</v>
      </c>
      <c r="AW20" s="0" t="n">
        <v>100</v>
      </c>
      <c r="AX20" s="0" t="n">
        <v>74</v>
      </c>
      <c r="AY20" s="0" t="n">
        <v>4.12</v>
      </c>
      <c r="AZ20" s="0" t="n">
        <v>9</v>
      </c>
      <c r="BA20" s="0" t="s">
        <v>163</v>
      </c>
      <c r="BB20" s="0" t="s">
        <v>146</v>
      </c>
      <c r="BC20" s="0" t="s">
        <v>186</v>
      </c>
      <c r="BD20" s="0" t="s">
        <v>164</v>
      </c>
      <c r="BE20" s="0" t="s">
        <v>176</v>
      </c>
      <c r="BF20" s="31" t="n">
        <v>46096.4205265857</v>
      </c>
      <c r="BG20" s="0" t="s">
        <v>137</v>
      </c>
    </row>
    <row r="21" customFormat="false" ht="15" hidden="false" customHeight="false" outlineLevel="0" collapsed="false">
      <c r="A21" s="0" t="s">
        <v>277</v>
      </c>
      <c r="B21" s="0" t="s">
        <v>278</v>
      </c>
      <c r="C21" s="0" t="s">
        <v>279</v>
      </c>
      <c r="D21" s="0" t="s">
        <v>280</v>
      </c>
      <c r="E21" s="0" t="s">
        <v>39</v>
      </c>
      <c r="F21" s="0" t="s">
        <v>23</v>
      </c>
      <c r="G21" s="0" t="s">
        <v>198</v>
      </c>
      <c r="H21" s="31" t="n">
        <v>42902</v>
      </c>
      <c r="I21" s="0" t="n">
        <v>1</v>
      </c>
      <c r="J21" s="0" t="s">
        <v>169</v>
      </c>
      <c r="K21" s="0" t="s">
        <v>199</v>
      </c>
      <c r="L21" s="0" t="s">
        <v>281</v>
      </c>
      <c r="M21" s="0" t="s">
        <v>158</v>
      </c>
      <c r="N21" s="0" t="n">
        <v>2</v>
      </c>
      <c r="O21" s="0" t="s">
        <v>171</v>
      </c>
      <c r="P21" s="0" t="n">
        <v>3</v>
      </c>
      <c r="Q21" s="0" t="n">
        <v>5</v>
      </c>
      <c r="R21" s="0" t="n">
        <v>4</v>
      </c>
      <c r="S21" s="0" t="n">
        <v>1</v>
      </c>
      <c r="T21" s="0" t="n">
        <v>1</v>
      </c>
      <c r="U21" s="0" t="n">
        <v>6</v>
      </c>
      <c r="V21" s="0" t="n">
        <v>24</v>
      </c>
      <c r="W21" s="0" t="n">
        <v>20</v>
      </c>
      <c r="X21" s="0" t="n">
        <v>0</v>
      </c>
      <c r="Y21" s="0" t="n">
        <v>14</v>
      </c>
      <c r="Z21" s="0" t="n">
        <v>30</v>
      </c>
      <c r="AA21" s="0" t="s">
        <v>135</v>
      </c>
      <c r="AB21" s="0" t="s">
        <v>136</v>
      </c>
      <c r="AC21" s="0" t="s">
        <v>143</v>
      </c>
      <c r="AD21" s="0" t="n">
        <v>9</v>
      </c>
      <c r="AE21" s="0" t="s">
        <v>159</v>
      </c>
      <c r="AF21" s="0" t="s">
        <v>209</v>
      </c>
      <c r="AG21" s="0" t="s">
        <v>140</v>
      </c>
      <c r="AH21" s="0" t="n">
        <v>1</v>
      </c>
      <c r="AI21" s="0" t="n">
        <v>17</v>
      </c>
      <c r="AJ21" s="0" t="s">
        <v>185</v>
      </c>
      <c r="AK21" s="0" t="s">
        <v>162</v>
      </c>
      <c r="AL21" s="0" t="n">
        <v>10</v>
      </c>
      <c r="AM21" s="0" t="s">
        <v>137</v>
      </c>
      <c r="AN21" s="0" t="s">
        <v>143</v>
      </c>
      <c r="AO21" s="0" t="n">
        <v>9</v>
      </c>
      <c r="AP21" s="0" t="n">
        <v>7</v>
      </c>
      <c r="AQ21" s="0" t="s">
        <v>144</v>
      </c>
      <c r="AR21" s="0" t="n">
        <v>5</v>
      </c>
      <c r="AS21" s="0" t="n">
        <v>0</v>
      </c>
      <c r="AT21" s="0" t="n">
        <v>0</v>
      </c>
      <c r="AU21" s="0" t="n">
        <v>6</v>
      </c>
      <c r="AV21" s="0" t="n">
        <v>4.29</v>
      </c>
      <c r="AW21" s="0" t="n">
        <v>72</v>
      </c>
      <c r="AX21" s="0" t="n">
        <v>91</v>
      </c>
      <c r="AY21" s="0" t="n">
        <v>4.42</v>
      </c>
      <c r="AZ21" s="0" t="n">
        <v>15</v>
      </c>
      <c r="BA21" s="0" t="s">
        <v>145</v>
      </c>
      <c r="BB21" s="0" t="s">
        <v>146</v>
      </c>
      <c r="BC21" s="0" t="s">
        <v>40</v>
      </c>
      <c r="BD21" s="0" t="s">
        <v>164</v>
      </c>
      <c r="BE21" s="0" t="s">
        <v>176</v>
      </c>
      <c r="BF21" s="31" t="n">
        <v>46096.4205265857</v>
      </c>
      <c r="BG21" s="0" t="s">
        <v>143</v>
      </c>
    </row>
    <row r="22" customFormat="false" ht="15" hidden="false" customHeight="false" outlineLevel="0" collapsed="false">
      <c r="A22" s="0" t="s">
        <v>282</v>
      </c>
      <c r="B22" s="0" t="s">
        <v>283</v>
      </c>
      <c r="C22" s="0" t="s">
        <v>284</v>
      </c>
      <c r="D22" s="0" t="s">
        <v>285</v>
      </c>
      <c r="E22" s="0" t="s">
        <v>32</v>
      </c>
      <c r="F22" s="0" t="s">
        <v>28</v>
      </c>
      <c r="G22" s="0" t="s">
        <v>129</v>
      </c>
      <c r="H22" s="31" t="n">
        <v>43333</v>
      </c>
      <c r="I22" s="0" t="n">
        <v>6</v>
      </c>
      <c r="J22" s="0" t="s">
        <v>155</v>
      </c>
      <c r="K22" s="0" t="s">
        <v>131</v>
      </c>
      <c r="L22" s="0" t="s">
        <v>286</v>
      </c>
      <c r="M22" s="0" t="s">
        <v>133</v>
      </c>
      <c r="N22" s="0" t="n">
        <v>3</v>
      </c>
      <c r="O22" s="0" t="s">
        <v>134</v>
      </c>
      <c r="P22" s="0" t="n">
        <v>4</v>
      </c>
      <c r="Q22" s="0" t="n">
        <v>5</v>
      </c>
      <c r="R22" s="0" t="n">
        <v>4</v>
      </c>
      <c r="S22" s="0" t="n">
        <v>0</v>
      </c>
      <c r="T22" s="0" t="n">
        <v>2</v>
      </c>
      <c r="U22" s="0" t="n">
        <v>6</v>
      </c>
      <c r="V22" s="0" t="n">
        <v>24</v>
      </c>
      <c r="W22" s="0" t="n">
        <v>20</v>
      </c>
      <c r="X22" s="0" t="n">
        <v>0</v>
      </c>
      <c r="Y22" s="0" t="n">
        <v>14</v>
      </c>
      <c r="Z22" s="0" t="n">
        <v>30</v>
      </c>
      <c r="AA22" s="0" t="s">
        <v>135</v>
      </c>
      <c r="AB22" s="0" t="s">
        <v>136</v>
      </c>
      <c r="AC22" s="0" t="s">
        <v>143</v>
      </c>
      <c r="AD22" s="0" t="n">
        <v>4</v>
      </c>
      <c r="AE22" s="0" t="s">
        <v>183</v>
      </c>
      <c r="AF22" s="0" t="s">
        <v>161</v>
      </c>
      <c r="AG22" s="0" t="s">
        <v>202</v>
      </c>
      <c r="AH22" s="0" t="n">
        <v>1</v>
      </c>
      <c r="AI22" s="0" t="n">
        <v>6</v>
      </c>
      <c r="AJ22" s="0" t="s">
        <v>193</v>
      </c>
      <c r="AK22" s="0" t="s">
        <v>142</v>
      </c>
      <c r="AL22" s="0" t="n">
        <v>1</v>
      </c>
      <c r="AM22" s="0" t="s">
        <v>143</v>
      </c>
      <c r="AN22" s="0" t="s">
        <v>137</v>
      </c>
      <c r="AO22" s="0" t="n">
        <v>3</v>
      </c>
      <c r="AP22" s="0" t="n">
        <v>3</v>
      </c>
      <c r="AQ22" s="0" t="s">
        <v>203</v>
      </c>
      <c r="AR22" s="0" t="n">
        <v>2</v>
      </c>
      <c r="AS22" s="0" t="n">
        <v>4</v>
      </c>
      <c r="AT22" s="0" t="n">
        <v>2</v>
      </c>
      <c r="AU22" s="0" t="n">
        <v>6</v>
      </c>
      <c r="AV22" s="0" t="n">
        <v>3.01</v>
      </c>
      <c r="AW22" s="0" t="n">
        <v>96</v>
      </c>
      <c r="AX22" s="0" t="n">
        <v>100</v>
      </c>
      <c r="AY22" s="0" t="n">
        <v>4</v>
      </c>
      <c r="AZ22" s="0" t="n">
        <v>16</v>
      </c>
      <c r="BA22" s="0" t="s">
        <v>163</v>
      </c>
      <c r="BB22" s="0" t="s">
        <v>146</v>
      </c>
      <c r="BC22" s="0" t="s">
        <v>40</v>
      </c>
      <c r="BD22" s="0" t="s">
        <v>164</v>
      </c>
      <c r="BE22" s="0" t="s">
        <v>176</v>
      </c>
      <c r="BF22" s="31" t="n">
        <v>46096.4205265857</v>
      </c>
      <c r="BG22" s="0" t="s">
        <v>137</v>
      </c>
    </row>
    <row r="23" customFormat="false" ht="15" hidden="false" customHeight="false" outlineLevel="0" collapsed="false">
      <c r="A23" s="0" t="s">
        <v>287</v>
      </c>
      <c r="B23" s="0" t="s">
        <v>288</v>
      </c>
      <c r="C23" s="0" t="s">
        <v>289</v>
      </c>
      <c r="D23" s="0" t="s">
        <v>290</v>
      </c>
      <c r="E23" s="0" t="s">
        <v>39</v>
      </c>
      <c r="F23" s="0" t="s">
        <v>28</v>
      </c>
      <c r="G23" s="0" t="s">
        <v>198</v>
      </c>
      <c r="H23" s="31" t="n">
        <v>43334</v>
      </c>
      <c r="I23" s="0" t="n">
        <v>19</v>
      </c>
      <c r="J23" s="0" t="s">
        <v>130</v>
      </c>
      <c r="K23" s="0" t="s">
        <v>131</v>
      </c>
      <c r="L23" s="0" t="s">
        <v>291</v>
      </c>
      <c r="M23" s="0" t="s">
        <v>158</v>
      </c>
      <c r="N23" s="0" t="n">
        <v>5</v>
      </c>
      <c r="O23" s="0" t="s">
        <v>171</v>
      </c>
      <c r="P23" s="0" t="n">
        <v>4</v>
      </c>
      <c r="Q23" s="0" t="n">
        <v>5</v>
      </c>
      <c r="R23" s="0" t="n">
        <v>2</v>
      </c>
      <c r="S23" s="0" t="n">
        <v>2</v>
      </c>
      <c r="T23" s="0" t="n">
        <v>0</v>
      </c>
      <c r="U23" s="0" t="n">
        <v>4</v>
      </c>
      <c r="V23" s="0" t="n">
        <v>16</v>
      </c>
      <c r="W23" s="0" t="n">
        <v>20</v>
      </c>
      <c r="X23" s="0" t="n">
        <v>0</v>
      </c>
      <c r="Y23" s="0" t="n">
        <v>16</v>
      </c>
      <c r="Z23" s="0" t="n">
        <v>20</v>
      </c>
      <c r="AA23" s="0" t="s">
        <v>135</v>
      </c>
      <c r="AB23" s="0" t="s">
        <v>172</v>
      </c>
      <c r="AC23" s="0" t="s">
        <v>137</v>
      </c>
      <c r="AD23" s="0" t="n">
        <v>5</v>
      </c>
      <c r="AE23" s="0" t="s">
        <v>249</v>
      </c>
      <c r="AF23" s="0" t="s">
        <v>160</v>
      </c>
      <c r="AG23" s="0" t="s">
        <v>161</v>
      </c>
      <c r="AH23" s="0" t="n">
        <v>1</v>
      </c>
      <c r="AI23" s="0" t="n">
        <v>12</v>
      </c>
      <c r="AJ23" s="0" t="s">
        <v>250</v>
      </c>
      <c r="AK23" s="0" t="s">
        <v>162</v>
      </c>
      <c r="AL23" s="0" t="n">
        <v>8</v>
      </c>
      <c r="AM23" s="0" t="s">
        <v>143</v>
      </c>
      <c r="AN23" s="0" t="s">
        <v>143</v>
      </c>
      <c r="AO23" s="0" t="n">
        <v>6</v>
      </c>
      <c r="AP23" s="0" t="n">
        <v>2</v>
      </c>
      <c r="AQ23" s="0" t="s">
        <v>203</v>
      </c>
      <c r="AR23" s="0" t="n">
        <v>0</v>
      </c>
      <c r="AS23" s="0" t="n">
        <v>1</v>
      </c>
      <c r="AT23" s="0" t="n">
        <v>1</v>
      </c>
      <c r="AU23" s="0" t="n">
        <v>3</v>
      </c>
      <c r="AV23" s="0" t="n">
        <v>3.59</v>
      </c>
      <c r="AW23" s="0" t="n">
        <v>93</v>
      </c>
      <c r="AX23" s="0" t="n">
        <v>94</v>
      </c>
      <c r="AY23" s="0" t="n">
        <v>4.14</v>
      </c>
      <c r="AZ23" s="0" t="n">
        <v>5</v>
      </c>
      <c r="BA23" s="0" t="s">
        <v>163</v>
      </c>
      <c r="BB23" s="0" t="s">
        <v>146</v>
      </c>
      <c r="BC23" s="0" t="s">
        <v>40</v>
      </c>
      <c r="BD23" s="0" t="s">
        <v>148</v>
      </c>
      <c r="BE23" s="0" t="s">
        <v>176</v>
      </c>
      <c r="BF23" s="31" t="n">
        <v>46096.4205265857</v>
      </c>
      <c r="BG23" s="0" t="s">
        <v>143</v>
      </c>
    </row>
    <row r="24" customFormat="false" ht="15" hidden="false" customHeight="false" outlineLevel="0" collapsed="false">
      <c r="A24" s="0" t="s">
        <v>292</v>
      </c>
      <c r="B24" s="0" t="s">
        <v>293</v>
      </c>
      <c r="C24" s="0" t="s">
        <v>294</v>
      </c>
      <c r="D24" s="0" t="s">
        <v>295</v>
      </c>
      <c r="E24" s="0" t="s">
        <v>27</v>
      </c>
      <c r="F24" s="0" t="s">
        <v>28</v>
      </c>
      <c r="G24" s="0" t="s">
        <v>198</v>
      </c>
      <c r="H24" s="31" t="n">
        <v>44759</v>
      </c>
      <c r="I24" s="0" t="n">
        <v>8</v>
      </c>
      <c r="J24" s="0" t="s">
        <v>169</v>
      </c>
      <c r="K24" s="0" t="s">
        <v>131</v>
      </c>
      <c r="L24" s="0" t="s">
        <v>296</v>
      </c>
      <c r="M24" s="0" t="s">
        <v>201</v>
      </c>
      <c r="N24" s="0" t="n">
        <v>3</v>
      </c>
      <c r="O24" s="0" t="s">
        <v>182</v>
      </c>
      <c r="P24" s="0" t="n">
        <v>4</v>
      </c>
      <c r="Q24" s="0" t="n">
        <v>3</v>
      </c>
      <c r="R24" s="0" t="n">
        <v>6</v>
      </c>
      <c r="S24" s="0" t="n">
        <v>1</v>
      </c>
      <c r="T24" s="0" t="n">
        <v>0</v>
      </c>
      <c r="U24" s="0" t="n">
        <v>7</v>
      </c>
      <c r="V24" s="0" t="n">
        <v>28</v>
      </c>
      <c r="W24" s="0" t="n">
        <v>20</v>
      </c>
      <c r="X24" s="0" t="n">
        <v>0</v>
      </c>
      <c r="Y24" s="0" t="n">
        <v>13</v>
      </c>
      <c r="Z24" s="0" t="n">
        <v>35</v>
      </c>
      <c r="AA24" s="0" t="s">
        <v>135</v>
      </c>
      <c r="AB24" s="0" t="s">
        <v>136</v>
      </c>
      <c r="AC24" s="0" t="s">
        <v>143</v>
      </c>
      <c r="AD24" s="0" t="n">
        <v>8</v>
      </c>
      <c r="AE24" s="0" t="s">
        <v>159</v>
      </c>
      <c r="AF24" s="0" t="s">
        <v>209</v>
      </c>
      <c r="AG24" s="0" t="s">
        <v>140</v>
      </c>
      <c r="AH24" s="0" t="n">
        <v>1</v>
      </c>
      <c r="AI24" s="0" t="n">
        <v>20</v>
      </c>
      <c r="AJ24" s="0" t="s">
        <v>174</v>
      </c>
      <c r="AK24" s="0" t="s">
        <v>162</v>
      </c>
      <c r="AL24" s="0" t="n">
        <v>9</v>
      </c>
      <c r="AM24" s="0" t="s">
        <v>137</v>
      </c>
      <c r="AN24" s="0" t="s">
        <v>137</v>
      </c>
      <c r="AO24" s="0" t="n">
        <v>6</v>
      </c>
      <c r="AP24" s="0" t="n">
        <v>4</v>
      </c>
      <c r="AQ24" s="0" t="s">
        <v>203</v>
      </c>
      <c r="AR24" s="0" t="n">
        <v>4</v>
      </c>
      <c r="AS24" s="0" t="n">
        <v>5</v>
      </c>
      <c r="AT24" s="0" t="n">
        <v>5</v>
      </c>
      <c r="AU24" s="0" t="n">
        <v>1</v>
      </c>
      <c r="AV24" s="0" t="n">
        <v>4.85</v>
      </c>
      <c r="AW24" s="0" t="n">
        <v>71</v>
      </c>
      <c r="AX24" s="0" t="n">
        <v>75</v>
      </c>
      <c r="AY24" s="0" t="n">
        <v>4.3</v>
      </c>
      <c r="AZ24" s="0" t="n">
        <v>18</v>
      </c>
      <c r="BA24" s="0" t="s">
        <v>145</v>
      </c>
      <c r="BB24" s="0" t="s">
        <v>146</v>
      </c>
      <c r="BC24" s="0" t="s">
        <v>40</v>
      </c>
      <c r="BD24" s="0" t="s">
        <v>148</v>
      </c>
      <c r="BE24" s="0" t="s">
        <v>176</v>
      </c>
      <c r="BF24" s="31" t="n">
        <v>46096.4205265857</v>
      </c>
      <c r="BG24" s="0" t="s">
        <v>143</v>
      </c>
    </row>
    <row r="25" customFormat="false" ht="15" hidden="false" customHeight="false" outlineLevel="0" collapsed="false">
      <c r="A25" s="0" t="s">
        <v>297</v>
      </c>
      <c r="B25" s="0" t="s">
        <v>298</v>
      </c>
      <c r="C25" s="0" t="s">
        <v>299</v>
      </c>
      <c r="D25" s="0" t="s">
        <v>300</v>
      </c>
      <c r="E25" s="0" t="s">
        <v>37</v>
      </c>
      <c r="F25" s="0" t="s">
        <v>23</v>
      </c>
      <c r="G25" s="0" t="s">
        <v>154</v>
      </c>
      <c r="H25" s="31" t="n">
        <v>43229</v>
      </c>
      <c r="I25" s="0" t="n">
        <v>5</v>
      </c>
      <c r="J25" s="0" t="s">
        <v>155</v>
      </c>
      <c r="K25" s="0" t="s">
        <v>199</v>
      </c>
      <c r="L25" s="0" t="s">
        <v>301</v>
      </c>
      <c r="M25" s="0" t="s">
        <v>201</v>
      </c>
      <c r="N25" s="0" t="n">
        <v>3</v>
      </c>
      <c r="O25" s="0" t="s">
        <v>171</v>
      </c>
      <c r="P25" s="0" t="n">
        <v>1</v>
      </c>
      <c r="Q25" s="0" t="n">
        <v>5</v>
      </c>
      <c r="R25" s="0" t="n">
        <v>3</v>
      </c>
      <c r="S25" s="0" t="n">
        <v>2</v>
      </c>
      <c r="T25" s="0" t="n">
        <v>2</v>
      </c>
      <c r="U25" s="0" t="n">
        <v>7</v>
      </c>
      <c r="V25" s="0" t="n">
        <v>28</v>
      </c>
      <c r="W25" s="0" t="n">
        <v>20</v>
      </c>
      <c r="X25" s="0" t="n">
        <v>0</v>
      </c>
      <c r="Y25" s="0" t="n">
        <v>13</v>
      </c>
      <c r="Z25" s="0" t="n">
        <v>35</v>
      </c>
      <c r="AA25" s="0" t="s">
        <v>135</v>
      </c>
      <c r="AB25" s="0" t="s">
        <v>172</v>
      </c>
      <c r="AC25" s="0" t="s">
        <v>143</v>
      </c>
      <c r="AD25" s="0" t="n">
        <v>8</v>
      </c>
      <c r="AE25" s="0" t="s">
        <v>138</v>
      </c>
      <c r="AF25" s="0" t="s">
        <v>160</v>
      </c>
      <c r="AG25" s="0" t="s">
        <v>202</v>
      </c>
      <c r="AH25" s="0" t="n">
        <v>2</v>
      </c>
      <c r="AI25" s="0" t="n">
        <v>16</v>
      </c>
      <c r="AJ25" s="0" t="s">
        <v>141</v>
      </c>
      <c r="AK25" s="0" t="s">
        <v>142</v>
      </c>
      <c r="AL25" s="0" t="n">
        <v>10</v>
      </c>
      <c r="AM25" s="0" t="s">
        <v>143</v>
      </c>
      <c r="AN25" s="0" t="s">
        <v>137</v>
      </c>
      <c r="AO25" s="0" t="n">
        <v>3</v>
      </c>
      <c r="AP25" s="0" t="n">
        <v>2</v>
      </c>
      <c r="AQ25" s="0" t="s">
        <v>203</v>
      </c>
      <c r="AR25" s="0" t="n">
        <v>4</v>
      </c>
      <c r="AS25" s="0" t="n">
        <v>5</v>
      </c>
      <c r="AT25" s="0" t="n">
        <v>0</v>
      </c>
      <c r="AU25" s="0" t="n">
        <v>0</v>
      </c>
      <c r="AV25" s="0" t="n">
        <v>4.45</v>
      </c>
      <c r="AW25" s="0" t="n">
        <v>86</v>
      </c>
      <c r="AX25" s="0" t="n">
        <v>90</v>
      </c>
      <c r="AY25" s="0" t="n">
        <v>4.47</v>
      </c>
      <c r="AZ25" s="0" t="n">
        <v>8</v>
      </c>
      <c r="BA25" s="0" t="s">
        <v>145</v>
      </c>
      <c r="BB25" s="0" t="s">
        <v>146</v>
      </c>
      <c r="BC25" s="0" t="s">
        <v>40</v>
      </c>
      <c r="BD25" s="0" t="s">
        <v>164</v>
      </c>
      <c r="BE25" s="0" t="s">
        <v>149</v>
      </c>
      <c r="BF25" s="31" t="n">
        <v>46096.4205265857</v>
      </c>
      <c r="BG25" s="0" t="s">
        <v>143</v>
      </c>
    </row>
    <row r="26" customFormat="false" ht="15" hidden="false" customHeight="false" outlineLevel="0" collapsed="false">
      <c r="A26" s="0" t="s">
        <v>302</v>
      </c>
      <c r="B26" s="0" t="s">
        <v>303</v>
      </c>
      <c r="C26" s="0" t="s">
        <v>304</v>
      </c>
      <c r="D26" s="0" t="s">
        <v>305</v>
      </c>
      <c r="E26" s="0" t="s">
        <v>32</v>
      </c>
      <c r="F26" s="0" t="s">
        <v>33</v>
      </c>
      <c r="G26" s="0" t="s">
        <v>198</v>
      </c>
      <c r="H26" s="31" t="n">
        <v>43829</v>
      </c>
      <c r="I26" s="0" t="n">
        <v>20</v>
      </c>
      <c r="J26" s="0" t="s">
        <v>220</v>
      </c>
      <c r="K26" s="0" t="s">
        <v>242</v>
      </c>
      <c r="L26" s="0" t="s">
        <v>306</v>
      </c>
      <c r="M26" s="0" t="s">
        <v>201</v>
      </c>
      <c r="N26" s="0" t="n">
        <v>6</v>
      </c>
      <c r="O26" s="0" t="s">
        <v>134</v>
      </c>
      <c r="P26" s="0" t="n">
        <v>4</v>
      </c>
      <c r="Q26" s="0" t="n">
        <v>3</v>
      </c>
      <c r="R26" s="0" t="n">
        <v>4</v>
      </c>
      <c r="S26" s="0" t="n">
        <v>0</v>
      </c>
      <c r="T26" s="0" t="n">
        <v>2</v>
      </c>
      <c r="U26" s="0" t="n">
        <v>6</v>
      </c>
      <c r="V26" s="0" t="n">
        <v>24</v>
      </c>
      <c r="W26" s="0" t="n">
        <v>20</v>
      </c>
      <c r="X26" s="0" t="n">
        <v>0</v>
      </c>
      <c r="Y26" s="0" t="n">
        <v>14</v>
      </c>
      <c r="Z26" s="0" t="n">
        <v>30</v>
      </c>
      <c r="AA26" s="0" t="s">
        <v>135</v>
      </c>
      <c r="AB26" s="0" t="s">
        <v>172</v>
      </c>
      <c r="AC26" s="0" t="s">
        <v>143</v>
      </c>
      <c r="AD26" s="0" t="n">
        <v>9</v>
      </c>
      <c r="AE26" s="0" t="s">
        <v>249</v>
      </c>
      <c r="AF26" s="0" t="s">
        <v>202</v>
      </c>
      <c r="AG26" s="0" t="s">
        <v>307</v>
      </c>
      <c r="AH26" s="0" t="n">
        <v>2</v>
      </c>
      <c r="AI26" s="0" t="n">
        <v>5</v>
      </c>
      <c r="AJ26" s="0" t="s">
        <v>174</v>
      </c>
      <c r="AK26" s="0" t="s">
        <v>142</v>
      </c>
      <c r="AL26" s="0" t="n">
        <v>2</v>
      </c>
      <c r="AM26" s="0" t="s">
        <v>137</v>
      </c>
      <c r="AN26" s="0" t="s">
        <v>143</v>
      </c>
      <c r="AO26" s="0" t="n">
        <v>7</v>
      </c>
      <c r="AP26" s="0" t="n">
        <v>1</v>
      </c>
      <c r="AQ26" s="0" t="s">
        <v>175</v>
      </c>
      <c r="AR26" s="0" t="n">
        <v>0</v>
      </c>
      <c r="AS26" s="0" t="n">
        <v>2</v>
      </c>
      <c r="AT26" s="0" t="n">
        <v>2</v>
      </c>
      <c r="AU26" s="0" t="n">
        <v>3</v>
      </c>
      <c r="AV26" s="0" t="n">
        <v>4.3</v>
      </c>
      <c r="AW26" s="0" t="n">
        <v>87</v>
      </c>
      <c r="AX26" s="0" t="n">
        <v>86</v>
      </c>
      <c r="AY26" s="0" t="n">
        <v>4.3</v>
      </c>
      <c r="AZ26" s="0" t="n">
        <v>5</v>
      </c>
      <c r="BA26" s="0" t="s">
        <v>163</v>
      </c>
      <c r="BB26" s="0" t="s">
        <v>146</v>
      </c>
      <c r="BC26" s="0" t="s">
        <v>186</v>
      </c>
      <c r="BD26" s="0" t="s">
        <v>148</v>
      </c>
      <c r="BE26" s="0" t="s">
        <v>176</v>
      </c>
      <c r="BF26" s="31" t="n">
        <v>46096.4205265857</v>
      </c>
      <c r="BG26" s="0" t="s">
        <v>137</v>
      </c>
    </row>
    <row r="27" customFormat="false" ht="15" hidden="false" customHeight="false" outlineLevel="0" collapsed="false">
      <c r="A27" s="0" t="s">
        <v>308</v>
      </c>
      <c r="B27" s="0" t="s">
        <v>309</v>
      </c>
      <c r="C27" s="0" t="s">
        <v>310</v>
      </c>
      <c r="D27" s="0" t="s">
        <v>311</v>
      </c>
      <c r="E27" s="0" t="s">
        <v>22</v>
      </c>
      <c r="F27" s="0" t="s">
        <v>23</v>
      </c>
      <c r="G27" s="0" t="s">
        <v>154</v>
      </c>
      <c r="H27" s="31" t="n">
        <v>43050</v>
      </c>
      <c r="I27" s="0" t="n">
        <v>13</v>
      </c>
      <c r="J27" s="0" t="s">
        <v>155</v>
      </c>
      <c r="K27" s="0" t="s">
        <v>191</v>
      </c>
      <c r="L27" s="0" t="s">
        <v>312</v>
      </c>
      <c r="M27" s="0" t="s">
        <v>201</v>
      </c>
      <c r="N27" s="0" t="n">
        <v>5</v>
      </c>
      <c r="O27" s="0" t="s">
        <v>182</v>
      </c>
      <c r="P27" s="0" t="n">
        <v>1</v>
      </c>
      <c r="Q27" s="0" t="n">
        <v>2</v>
      </c>
      <c r="R27" s="0" t="n">
        <v>5</v>
      </c>
      <c r="S27" s="0" t="n">
        <v>3</v>
      </c>
      <c r="T27" s="0" t="n">
        <v>1</v>
      </c>
      <c r="U27" s="0" t="n">
        <v>9</v>
      </c>
      <c r="V27" s="0" t="n">
        <v>36</v>
      </c>
      <c r="W27" s="0" t="n">
        <v>20</v>
      </c>
      <c r="X27" s="0" t="n">
        <v>0</v>
      </c>
      <c r="Y27" s="0" t="n">
        <v>11</v>
      </c>
      <c r="Z27" s="0" t="n">
        <v>45</v>
      </c>
      <c r="AA27" s="0" t="s">
        <v>135</v>
      </c>
      <c r="AB27" s="0" t="s">
        <v>172</v>
      </c>
      <c r="AC27" s="0" t="s">
        <v>143</v>
      </c>
      <c r="AD27" s="0" t="n">
        <v>10</v>
      </c>
      <c r="AE27" s="0" t="s">
        <v>215</v>
      </c>
      <c r="AF27" s="0" t="s">
        <v>161</v>
      </c>
      <c r="AG27" s="0" t="s">
        <v>184</v>
      </c>
      <c r="AH27" s="0" t="n">
        <v>2</v>
      </c>
      <c r="AI27" s="0" t="n">
        <v>17</v>
      </c>
      <c r="AJ27" s="0" t="s">
        <v>174</v>
      </c>
      <c r="AK27" s="0" t="s">
        <v>162</v>
      </c>
      <c r="AL27" s="0" t="n">
        <v>6</v>
      </c>
      <c r="AM27" s="0" t="s">
        <v>137</v>
      </c>
      <c r="AN27" s="0" t="s">
        <v>143</v>
      </c>
      <c r="AO27" s="0" t="n">
        <v>3</v>
      </c>
      <c r="AP27" s="0" t="n">
        <v>2</v>
      </c>
      <c r="AQ27" s="0" t="s">
        <v>144</v>
      </c>
      <c r="AR27" s="0" t="n">
        <v>2</v>
      </c>
      <c r="AS27" s="0" t="n">
        <v>5</v>
      </c>
      <c r="AT27" s="0" t="n">
        <v>0</v>
      </c>
      <c r="AU27" s="0" t="n">
        <v>2</v>
      </c>
      <c r="AV27" s="0" t="n">
        <v>4.06</v>
      </c>
      <c r="AW27" s="0" t="n">
        <v>88</v>
      </c>
      <c r="AX27" s="0" t="n">
        <v>77</v>
      </c>
      <c r="AY27" s="0" t="n">
        <v>3.96</v>
      </c>
      <c r="AZ27" s="0" t="n">
        <v>10</v>
      </c>
      <c r="BA27" s="0" t="s">
        <v>163</v>
      </c>
      <c r="BB27" s="0" t="s">
        <v>146</v>
      </c>
      <c r="BC27" s="0" t="s">
        <v>186</v>
      </c>
      <c r="BD27" s="0" t="s">
        <v>164</v>
      </c>
      <c r="BE27" s="0" t="s">
        <v>149</v>
      </c>
      <c r="BF27" s="31" t="n">
        <v>46096.4205265857</v>
      </c>
      <c r="BG27" s="0" t="s">
        <v>143</v>
      </c>
    </row>
    <row r="28" customFormat="false" ht="15" hidden="false" customHeight="false" outlineLevel="0" collapsed="false">
      <c r="A28" s="0" t="s">
        <v>313</v>
      </c>
      <c r="B28" s="0" t="s">
        <v>314</v>
      </c>
      <c r="C28" s="0" t="s">
        <v>315</v>
      </c>
      <c r="D28" s="0" t="s">
        <v>316</v>
      </c>
      <c r="E28" s="0" t="s">
        <v>32</v>
      </c>
      <c r="F28" s="0" t="s">
        <v>28</v>
      </c>
      <c r="G28" s="0" t="s">
        <v>198</v>
      </c>
      <c r="H28" s="31" t="n">
        <v>42383</v>
      </c>
      <c r="I28" s="0" t="n">
        <v>18</v>
      </c>
      <c r="J28" s="0" t="s">
        <v>155</v>
      </c>
      <c r="K28" s="0" t="s">
        <v>242</v>
      </c>
      <c r="L28" s="0" t="s">
        <v>317</v>
      </c>
      <c r="M28" s="0" t="s">
        <v>201</v>
      </c>
      <c r="N28" s="0" t="n">
        <v>2</v>
      </c>
      <c r="O28" s="0" t="s">
        <v>182</v>
      </c>
      <c r="P28" s="0" t="n">
        <v>3</v>
      </c>
      <c r="Q28" s="0" t="n">
        <v>4</v>
      </c>
      <c r="R28" s="0" t="n">
        <v>3</v>
      </c>
      <c r="S28" s="0" t="n">
        <v>2</v>
      </c>
      <c r="T28" s="0" t="n">
        <v>0</v>
      </c>
      <c r="U28" s="0" t="n">
        <v>5</v>
      </c>
      <c r="V28" s="0" t="n">
        <v>20</v>
      </c>
      <c r="W28" s="0" t="n">
        <v>20</v>
      </c>
      <c r="X28" s="0" t="n">
        <v>0</v>
      </c>
      <c r="Y28" s="0" t="n">
        <v>15</v>
      </c>
      <c r="Z28" s="0" t="n">
        <v>25</v>
      </c>
      <c r="AA28" s="0" t="s">
        <v>135</v>
      </c>
      <c r="AB28" s="0" t="s">
        <v>136</v>
      </c>
      <c r="AC28" s="0" t="s">
        <v>143</v>
      </c>
      <c r="AD28" s="0" t="n">
        <v>9</v>
      </c>
      <c r="AE28" s="0" t="s">
        <v>249</v>
      </c>
      <c r="AF28" s="0" t="s">
        <v>209</v>
      </c>
      <c r="AG28" s="0" t="s">
        <v>173</v>
      </c>
      <c r="AH28" s="0" t="n">
        <v>2</v>
      </c>
      <c r="AI28" s="0" t="n">
        <v>12</v>
      </c>
      <c r="AJ28" s="0" t="s">
        <v>141</v>
      </c>
      <c r="AK28" s="0" t="s">
        <v>142</v>
      </c>
      <c r="AL28" s="0" t="n">
        <v>1</v>
      </c>
      <c r="AM28" s="0" t="s">
        <v>143</v>
      </c>
      <c r="AN28" s="0" t="s">
        <v>143</v>
      </c>
      <c r="AO28" s="0" t="n">
        <v>8</v>
      </c>
      <c r="AP28" s="0" t="n">
        <v>8</v>
      </c>
      <c r="AQ28" s="0" t="s">
        <v>237</v>
      </c>
      <c r="AR28" s="0" t="n">
        <v>1</v>
      </c>
      <c r="AS28" s="0" t="n">
        <v>5</v>
      </c>
      <c r="AT28" s="0" t="n">
        <v>3</v>
      </c>
      <c r="AU28" s="0" t="n">
        <v>7</v>
      </c>
      <c r="AV28" s="0" t="n">
        <v>4.92</v>
      </c>
      <c r="AW28" s="0" t="n">
        <v>81</v>
      </c>
      <c r="AX28" s="0" t="n">
        <v>99</v>
      </c>
      <c r="AY28" s="0" t="n">
        <v>4.94</v>
      </c>
      <c r="AZ28" s="0" t="n">
        <v>3</v>
      </c>
      <c r="BA28" s="0" t="s">
        <v>145</v>
      </c>
      <c r="BB28" s="0" t="s">
        <v>146</v>
      </c>
      <c r="BC28" s="0" t="s">
        <v>147</v>
      </c>
      <c r="BD28" s="0" t="s">
        <v>148</v>
      </c>
      <c r="BE28" s="0" t="s">
        <v>149</v>
      </c>
      <c r="BF28" s="31" t="n">
        <v>46096.4205265857</v>
      </c>
      <c r="BG28" s="0" t="s">
        <v>143</v>
      </c>
    </row>
    <row r="29" customFormat="false" ht="15" hidden="false" customHeight="false" outlineLevel="0" collapsed="false">
      <c r="A29" s="0" t="s">
        <v>318</v>
      </c>
      <c r="B29" s="0" t="s">
        <v>319</v>
      </c>
      <c r="C29" s="0" t="s">
        <v>320</v>
      </c>
      <c r="D29" s="0" t="s">
        <v>321</v>
      </c>
      <c r="E29" s="0" t="s">
        <v>22</v>
      </c>
      <c r="F29" s="0" t="s">
        <v>28</v>
      </c>
      <c r="G29" s="0" t="s">
        <v>129</v>
      </c>
      <c r="H29" s="31" t="n">
        <v>44911</v>
      </c>
      <c r="I29" s="0" t="n">
        <v>15</v>
      </c>
      <c r="J29" s="0" t="s">
        <v>169</v>
      </c>
      <c r="K29" s="0" t="s">
        <v>242</v>
      </c>
      <c r="L29" s="0" t="s">
        <v>322</v>
      </c>
      <c r="M29" s="0" t="s">
        <v>158</v>
      </c>
      <c r="N29" s="0" t="n">
        <v>4</v>
      </c>
      <c r="O29" s="0" t="s">
        <v>182</v>
      </c>
      <c r="P29" s="0" t="n">
        <v>2</v>
      </c>
      <c r="Q29" s="0" t="n">
        <v>3</v>
      </c>
      <c r="R29" s="0" t="n">
        <v>4</v>
      </c>
      <c r="S29" s="0" t="n">
        <v>1</v>
      </c>
      <c r="T29" s="0" t="n">
        <v>1</v>
      </c>
      <c r="U29" s="0" t="n">
        <v>6</v>
      </c>
      <c r="V29" s="0" t="n">
        <v>24</v>
      </c>
      <c r="W29" s="0" t="n">
        <v>20</v>
      </c>
      <c r="X29" s="0" t="n">
        <v>0</v>
      </c>
      <c r="Y29" s="0" t="n">
        <v>14</v>
      </c>
      <c r="Z29" s="0" t="n">
        <v>30</v>
      </c>
      <c r="AA29" s="0" t="s">
        <v>135</v>
      </c>
      <c r="AB29" s="0" t="s">
        <v>136</v>
      </c>
      <c r="AC29" s="0" t="s">
        <v>143</v>
      </c>
      <c r="AD29" s="0" t="n">
        <v>5</v>
      </c>
      <c r="AE29" s="0" t="s">
        <v>215</v>
      </c>
      <c r="AF29" s="0" t="s">
        <v>202</v>
      </c>
      <c r="AG29" s="0" t="s">
        <v>184</v>
      </c>
      <c r="AH29" s="0" t="n">
        <v>1</v>
      </c>
      <c r="AI29" s="0" t="n">
        <v>8</v>
      </c>
      <c r="AJ29" s="0" t="s">
        <v>250</v>
      </c>
      <c r="AK29" s="0" t="s">
        <v>162</v>
      </c>
      <c r="AL29" s="0" t="n">
        <v>2</v>
      </c>
      <c r="AM29" s="0" t="s">
        <v>137</v>
      </c>
      <c r="AN29" s="0" t="s">
        <v>137</v>
      </c>
      <c r="AO29" s="0" t="n">
        <v>2</v>
      </c>
      <c r="AP29" s="0" t="n">
        <v>0</v>
      </c>
      <c r="AQ29" s="0" t="s">
        <v>237</v>
      </c>
      <c r="AR29" s="0" t="n">
        <v>3</v>
      </c>
      <c r="AS29" s="0" t="n">
        <v>1</v>
      </c>
      <c r="AT29" s="0" t="n">
        <v>0</v>
      </c>
      <c r="AU29" s="0" t="n">
        <v>6</v>
      </c>
      <c r="AV29" s="0" t="n">
        <v>3.74</v>
      </c>
      <c r="AW29" s="0" t="n">
        <v>62</v>
      </c>
      <c r="AX29" s="0" t="n">
        <v>88</v>
      </c>
      <c r="AY29" s="0" t="n">
        <v>4.07</v>
      </c>
      <c r="AZ29" s="0" t="n">
        <v>1</v>
      </c>
      <c r="BA29" s="0" t="s">
        <v>163</v>
      </c>
      <c r="BB29" s="0" t="s">
        <v>146</v>
      </c>
      <c r="BC29" s="0" t="s">
        <v>40</v>
      </c>
      <c r="BD29" s="0" t="s">
        <v>164</v>
      </c>
      <c r="BE29" s="0" t="s">
        <v>176</v>
      </c>
      <c r="BF29" s="31" t="n">
        <v>46096.4205265857</v>
      </c>
      <c r="BG29" s="0" t="s">
        <v>137</v>
      </c>
    </row>
    <row r="30" customFormat="false" ht="15" hidden="false" customHeight="false" outlineLevel="0" collapsed="false">
      <c r="A30" s="0" t="s">
        <v>323</v>
      </c>
      <c r="B30" s="0" t="s">
        <v>324</v>
      </c>
      <c r="C30" s="0" t="s">
        <v>325</v>
      </c>
      <c r="D30" s="0" t="s">
        <v>326</v>
      </c>
      <c r="E30" s="0" t="s">
        <v>32</v>
      </c>
      <c r="F30" s="0" t="s">
        <v>23</v>
      </c>
      <c r="G30" s="0" t="s">
        <v>198</v>
      </c>
      <c r="H30" s="31" t="n">
        <v>44348</v>
      </c>
      <c r="I30" s="0" t="n">
        <v>13</v>
      </c>
      <c r="J30" s="0" t="s">
        <v>130</v>
      </c>
      <c r="K30" s="0" t="s">
        <v>191</v>
      </c>
      <c r="L30" s="0" t="s">
        <v>327</v>
      </c>
      <c r="M30" s="0" t="s">
        <v>158</v>
      </c>
      <c r="N30" s="0" t="n">
        <v>3</v>
      </c>
      <c r="O30" s="0" t="s">
        <v>134</v>
      </c>
      <c r="P30" s="0" t="n">
        <v>3</v>
      </c>
      <c r="Q30" s="0" t="n">
        <v>3</v>
      </c>
      <c r="R30" s="0" t="n">
        <v>2</v>
      </c>
      <c r="S30" s="0" t="n">
        <v>2</v>
      </c>
      <c r="T30" s="0" t="n">
        <v>2</v>
      </c>
      <c r="U30" s="0" t="n">
        <v>6</v>
      </c>
      <c r="V30" s="0" t="n">
        <v>24</v>
      </c>
      <c r="W30" s="0" t="n">
        <v>20</v>
      </c>
      <c r="X30" s="0" t="n">
        <v>0</v>
      </c>
      <c r="Y30" s="0" t="n">
        <v>14</v>
      </c>
      <c r="Z30" s="0" t="n">
        <v>30</v>
      </c>
      <c r="AA30" s="0" t="s">
        <v>135</v>
      </c>
      <c r="AB30" s="0" t="s">
        <v>136</v>
      </c>
      <c r="AC30" s="0" t="s">
        <v>143</v>
      </c>
      <c r="AD30" s="0" t="n">
        <v>3</v>
      </c>
      <c r="AE30" s="0" t="s">
        <v>249</v>
      </c>
      <c r="AF30" s="0" t="s">
        <v>161</v>
      </c>
      <c r="AG30" s="0" t="s">
        <v>202</v>
      </c>
      <c r="AH30" s="0" t="n">
        <v>1</v>
      </c>
      <c r="AI30" s="0" t="n">
        <v>11</v>
      </c>
      <c r="AJ30" s="0" t="s">
        <v>174</v>
      </c>
      <c r="AK30" s="0" t="s">
        <v>162</v>
      </c>
      <c r="AL30" s="0" t="n">
        <v>7</v>
      </c>
      <c r="AM30" s="0" t="s">
        <v>137</v>
      </c>
      <c r="AN30" s="0" t="s">
        <v>137</v>
      </c>
      <c r="AO30" s="0" t="n">
        <v>8</v>
      </c>
      <c r="AP30" s="0" t="n">
        <v>8</v>
      </c>
      <c r="AQ30" s="0" t="s">
        <v>203</v>
      </c>
      <c r="AR30" s="0" t="n">
        <v>2</v>
      </c>
      <c r="AS30" s="0" t="n">
        <v>5</v>
      </c>
      <c r="AT30" s="0" t="n">
        <v>1</v>
      </c>
      <c r="AU30" s="0" t="n">
        <v>6</v>
      </c>
      <c r="AV30" s="0" t="n">
        <v>3.28</v>
      </c>
      <c r="AW30" s="0" t="n">
        <v>92</v>
      </c>
      <c r="AX30" s="0" t="n">
        <v>93</v>
      </c>
      <c r="AY30" s="0" t="n">
        <v>3.96</v>
      </c>
      <c r="AZ30" s="0" t="n">
        <v>19</v>
      </c>
      <c r="BA30" s="0" t="s">
        <v>163</v>
      </c>
      <c r="BB30" s="0" t="s">
        <v>146</v>
      </c>
      <c r="BC30" s="0" t="s">
        <v>40</v>
      </c>
      <c r="BD30" s="0" t="s">
        <v>148</v>
      </c>
      <c r="BE30" s="0" t="s">
        <v>176</v>
      </c>
      <c r="BF30" s="31" t="n">
        <v>46096.4205265857</v>
      </c>
      <c r="BG30" s="0" t="s">
        <v>137</v>
      </c>
    </row>
    <row r="31" customFormat="false" ht="15" hidden="false" customHeight="false" outlineLevel="0" collapsed="false">
      <c r="A31" s="0" t="s">
        <v>328</v>
      </c>
      <c r="B31" s="0" t="s">
        <v>329</v>
      </c>
      <c r="C31" s="0" t="s">
        <v>330</v>
      </c>
      <c r="D31" s="0" t="s">
        <v>331</v>
      </c>
      <c r="E31" s="0" t="s">
        <v>39</v>
      </c>
      <c r="F31" s="0" t="s">
        <v>33</v>
      </c>
      <c r="G31" s="0" t="s">
        <v>129</v>
      </c>
      <c r="H31" s="31" t="n">
        <v>42315</v>
      </c>
      <c r="I31" s="0" t="n">
        <v>10</v>
      </c>
      <c r="J31" s="0" t="s">
        <v>130</v>
      </c>
      <c r="K31" s="0" t="s">
        <v>199</v>
      </c>
      <c r="L31" s="0" t="s">
        <v>255</v>
      </c>
      <c r="M31" s="0" t="s">
        <v>133</v>
      </c>
      <c r="N31" s="0" t="n">
        <v>6</v>
      </c>
      <c r="O31" s="0" t="s">
        <v>134</v>
      </c>
      <c r="P31" s="0" t="n">
        <v>3</v>
      </c>
      <c r="Q31" s="0" t="n">
        <v>3</v>
      </c>
      <c r="R31" s="0" t="n">
        <v>4</v>
      </c>
      <c r="S31" s="0" t="n">
        <v>1</v>
      </c>
      <c r="T31" s="0" t="n">
        <v>2</v>
      </c>
      <c r="U31" s="0" t="n">
        <v>7</v>
      </c>
      <c r="V31" s="0" t="n">
        <v>28</v>
      </c>
      <c r="W31" s="0" t="n">
        <v>20</v>
      </c>
      <c r="X31" s="0" t="n">
        <v>0</v>
      </c>
      <c r="Y31" s="0" t="n">
        <v>13</v>
      </c>
      <c r="Z31" s="0" t="n">
        <v>35</v>
      </c>
      <c r="AA31" s="0" t="s">
        <v>135</v>
      </c>
      <c r="AB31" s="0" t="s">
        <v>136</v>
      </c>
      <c r="AC31" s="0" t="s">
        <v>137</v>
      </c>
      <c r="AD31" s="0" t="n">
        <v>5</v>
      </c>
      <c r="AE31" s="0" t="s">
        <v>183</v>
      </c>
      <c r="AF31" s="0" t="s">
        <v>160</v>
      </c>
      <c r="AG31" s="0" t="s">
        <v>161</v>
      </c>
      <c r="AH31" s="0" t="n">
        <v>1</v>
      </c>
      <c r="AI31" s="0" t="n">
        <v>17</v>
      </c>
      <c r="AJ31" s="0" t="s">
        <v>174</v>
      </c>
      <c r="AK31" s="0" t="s">
        <v>142</v>
      </c>
      <c r="AL31" s="0" t="n">
        <v>3</v>
      </c>
      <c r="AM31" s="0" t="s">
        <v>143</v>
      </c>
      <c r="AN31" s="0" t="s">
        <v>137</v>
      </c>
      <c r="AO31" s="0" t="n">
        <v>5</v>
      </c>
      <c r="AP31" s="0" t="n">
        <v>7</v>
      </c>
      <c r="AQ31" s="0" t="s">
        <v>175</v>
      </c>
      <c r="AR31" s="0" t="n">
        <v>5</v>
      </c>
      <c r="AS31" s="0" t="n">
        <v>3</v>
      </c>
      <c r="AT31" s="0" t="n">
        <v>3</v>
      </c>
      <c r="AU31" s="0" t="n">
        <v>8</v>
      </c>
      <c r="AV31" s="0" t="n">
        <v>3.64</v>
      </c>
      <c r="AW31" s="0" t="n">
        <v>75</v>
      </c>
      <c r="AX31" s="0" t="n">
        <v>100</v>
      </c>
      <c r="AY31" s="0" t="n">
        <v>4.32</v>
      </c>
      <c r="AZ31" s="0" t="n">
        <v>19</v>
      </c>
      <c r="BA31" s="0" t="s">
        <v>163</v>
      </c>
      <c r="BB31" s="0" t="s">
        <v>146</v>
      </c>
      <c r="BC31" s="0" t="s">
        <v>147</v>
      </c>
      <c r="BD31" s="0" t="s">
        <v>164</v>
      </c>
      <c r="BE31" s="0" t="s">
        <v>176</v>
      </c>
      <c r="BF31" s="31" t="n">
        <v>46096.4205265857</v>
      </c>
      <c r="BG31" s="0" t="s">
        <v>137</v>
      </c>
    </row>
    <row r="32" customFormat="false" ht="15" hidden="false" customHeight="false" outlineLevel="0" collapsed="false">
      <c r="A32" s="0" t="s">
        <v>332</v>
      </c>
      <c r="B32" s="0" t="s">
        <v>333</v>
      </c>
      <c r="C32" s="0" t="s">
        <v>334</v>
      </c>
      <c r="D32" s="0" t="s">
        <v>335</v>
      </c>
      <c r="E32" s="0" t="s">
        <v>32</v>
      </c>
      <c r="F32" s="0" t="s">
        <v>23</v>
      </c>
      <c r="G32" s="0" t="s">
        <v>154</v>
      </c>
      <c r="H32" s="31" t="n">
        <v>42177</v>
      </c>
      <c r="I32" s="0" t="n">
        <v>6</v>
      </c>
      <c r="J32" s="0" t="s">
        <v>220</v>
      </c>
      <c r="K32" s="0" t="s">
        <v>191</v>
      </c>
      <c r="L32" s="0" t="s">
        <v>336</v>
      </c>
      <c r="M32" s="0" t="s">
        <v>201</v>
      </c>
      <c r="N32" s="0" t="n">
        <v>3</v>
      </c>
      <c r="O32" s="0" t="s">
        <v>182</v>
      </c>
      <c r="P32" s="0" t="n">
        <v>3</v>
      </c>
      <c r="Q32" s="0" t="n">
        <v>2</v>
      </c>
      <c r="R32" s="0" t="n">
        <v>4</v>
      </c>
      <c r="S32" s="0" t="n">
        <v>1</v>
      </c>
      <c r="T32" s="0" t="n">
        <v>2</v>
      </c>
      <c r="U32" s="0" t="n">
        <v>7</v>
      </c>
      <c r="V32" s="0" t="n">
        <v>28</v>
      </c>
      <c r="W32" s="0" t="n">
        <v>20</v>
      </c>
      <c r="X32" s="0" t="n">
        <v>0</v>
      </c>
      <c r="Y32" s="0" t="n">
        <v>13</v>
      </c>
      <c r="Z32" s="0" t="n">
        <v>35</v>
      </c>
      <c r="AA32" s="0" t="s">
        <v>135</v>
      </c>
      <c r="AB32" s="0" t="s">
        <v>172</v>
      </c>
      <c r="AC32" s="0" t="s">
        <v>143</v>
      </c>
      <c r="AD32" s="0" t="n">
        <v>3</v>
      </c>
      <c r="AE32" s="0" t="s">
        <v>138</v>
      </c>
      <c r="AF32" s="0" t="s">
        <v>173</v>
      </c>
      <c r="AG32" s="0" t="s">
        <v>161</v>
      </c>
      <c r="AH32" s="0" t="n">
        <v>2</v>
      </c>
      <c r="AI32" s="0" t="n">
        <v>6</v>
      </c>
      <c r="AJ32" s="0" t="s">
        <v>250</v>
      </c>
      <c r="AK32" s="0" t="s">
        <v>142</v>
      </c>
      <c r="AL32" s="0" t="n">
        <v>8</v>
      </c>
      <c r="AM32" s="0" t="s">
        <v>137</v>
      </c>
      <c r="AN32" s="0" t="s">
        <v>143</v>
      </c>
      <c r="AO32" s="0" t="n">
        <v>5</v>
      </c>
      <c r="AP32" s="0" t="n">
        <v>1</v>
      </c>
      <c r="AQ32" s="0" t="s">
        <v>237</v>
      </c>
      <c r="AR32" s="0" t="n">
        <v>3</v>
      </c>
      <c r="AS32" s="0" t="n">
        <v>1</v>
      </c>
      <c r="AT32" s="0" t="n">
        <v>2</v>
      </c>
      <c r="AU32" s="0" t="n">
        <v>6</v>
      </c>
      <c r="AV32" s="0" t="n">
        <v>4.38</v>
      </c>
      <c r="AW32" s="0" t="n">
        <v>74</v>
      </c>
      <c r="AX32" s="0" t="n">
        <v>98</v>
      </c>
      <c r="AY32" s="0" t="n">
        <v>4.64</v>
      </c>
      <c r="AZ32" s="0" t="n">
        <v>15</v>
      </c>
      <c r="BA32" s="0" t="s">
        <v>145</v>
      </c>
      <c r="BB32" s="0" t="s">
        <v>146</v>
      </c>
      <c r="BC32" s="0" t="s">
        <v>40</v>
      </c>
      <c r="BD32" s="0" t="s">
        <v>164</v>
      </c>
      <c r="BE32" s="0" t="s">
        <v>176</v>
      </c>
      <c r="BF32" s="31" t="n">
        <v>46096.4205265857</v>
      </c>
      <c r="BG32" s="0" t="s">
        <v>143</v>
      </c>
    </row>
    <row r="33" customFormat="false" ht="15" hidden="false" customHeight="false" outlineLevel="0" collapsed="false">
      <c r="A33" s="0" t="s">
        <v>337</v>
      </c>
      <c r="B33" s="0" t="s">
        <v>338</v>
      </c>
      <c r="C33" s="0" t="s">
        <v>339</v>
      </c>
      <c r="D33" s="0" t="s">
        <v>340</v>
      </c>
      <c r="E33" s="0" t="s">
        <v>39</v>
      </c>
      <c r="F33" s="0" t="s">
        <v>23</v>
      </c>
      <c r="G33" s="0" t="s">
        <v>154</v>
      </c>
      <c r="H33" s="31" t="n">
        <v>42743</v>
      </c>
      <c r="I33" s="0" t="n">
        <v>3</v>
      </c>
      <c r="J33" s="0" t="s">
        <v>220</v>
      </c>
      <c r="K33" s="0" t="s">
        <v>242</v>
      </c>
      <c r="L33" s="0" t="s">
        <v>341</v>
      </c>
      <c r="M33" s="0" t="s">
        <v>133</v>
      </c>
      <c r="N33" s="0" t="n">
        <v>3</v>
      </c>
      <c r="O33" s="0" t="s">
        <v>182</v>
      </c>
      <c r="P33" s="0" t="n">
        <v>4</v>
      </c>
      <c r="Q33" s="0" t="n">
        <v>2</v>
      </c>
      <c r="R33" s="0" t="n">
        <v>5</v>
      </c>
      <c r="S33" s="0" t="n">
        <v>3</v>
      </c>
      <c r="T33" s="0" t="n">
        <v>0</v>
      </c>
      <c r="U33" s="0" t="n">
        <v>8</v>
      </c>
      <c r="V33" s="0" t="n">
        <v>32</v>
      </c>
      <c r="W33" s="0" t="n">
        <v>20</v>
      </c>
      <c r="X33" s="0" t="n">
        <v>0</v>
      </c>
      <c r="Y33" s="0" t="n">
        <v>12</v>
      </c>
      <c r="Z33" s="0" t="n">
        <v>40</v>
      </c>
      <c r="AA33" s="0" t="s">
        <v>135</v>
      </c>
      <c r="AB33" s="0" t="s">
        <v>136</v>
      </c>
      <c r="AC33" s="0" t="s">
        <v>143</v>
      </c>
      <c r="AD33" s="0" t="n">
        <v>6</v>
      </c>
      <c r="AE33" s="0" t="s">
        <v>215</v>
      </c>
      <c r="AF33" s="0" t="s">
        <v>160</v>
      </c>
      <c r="AG33" s="0" t="s">
        <v>161</v>
      </c>
      <c r="AH33" s="0" t="n">
        <v>1</v>
      </c>
      <c r="AI33" s="0" t="n">
        <v>16</v>
      </c>
      <c r="AJ33" s="0" t="s">
        <v>193</v>
      </c>
      <c r="AK33" s="0" t="s">
        <v>142</v>
      </c>
      <c r="AL33" s="0" t="n">
        <v>4</v>
      </c>
      <c r="AM33" s="0" t="s">
        <v>137</v>
      </c>
      <c r="AN33" s="0" t="s">
        <v>137</v>
      </c>
      <c r="AO33" s="0" t="n">
        <v>4</v>
      </c>
      <c r="AP33" s="0" t="n">
        <v>7</v>
      </c>
      <c r="AQ33" s="0" t="s">
        <v>175</v>
      </c>
      <c r="AR33" s="0" t="n">
        <v>0</v>
      </c>
      <c r="AS33" s="0" t="n">
        <v>0</v>
      </c>
      <c r="AT33" s="0" t="n">
        <v>3</v>
      </c>
      <c r="AU33" s="0" t="n">
        <v>5</v>
      </c>
      <c r="AV33" s="0" t="n">
        <v>3.12</v>
      </c>
      <c r="AW33" s="0" t="n">
        <v>98</v>
      </c>
      <c r="AX33" s="0" t="n">
        <v>91</v>
      </c>
      <c r="AY33" s="0" t="n">
        <v>3.83</v>
      </c>
      <c r="AZ33" s="0" t="n">
        <v>12</v>
      </c>
      <c r="BA33" s="0" t="s">
        <v>145</v>
      </c>
      <c r="BB33" s="0" t="s">
        <v>146</v>
      </c>
      <c r="BC33" s="0" t="s">
        <v>186</v>
      </c>
      <c r="BD33" s="0" t="s">
        <v>164</v>
      </c>
      <c r="BE33" s="0" t="s">
        <v>149</v>
      </c>
      <c r="BF33" s="31" t="n">
        <v>46096.4205265857</v>
      </c>
      <c r="BG33" s="0" t="s">
        <v>137</v>
      </c>
    </row>
    <row r="34" customFormat="false" ht="15" hidden="false" customHeight="false" outlineLevel="0" collapsed="false">
      <c r="A34" s="0" t="s">
        <v>342</v>
      </c>
      <c r="B34" s="0" t="s">
        <v>343</v>
      </c>
      <c r="C34" s="0" t="s">
        <v>344</v>
      </c>
      <c r="D34" s="0" t="s">
        <v>345</v>
      </c>
      <c r="E34" s="0" t="s">
        <v>22</v>
      </c>
      <c r="F34" s="0" t="s">
        <v>28</v>
      </c>
      <c r="G34" s="0" t="s">
        <v>129</v>
      </c>
      <c r="H34" s="31" t="n">
        <v>42367</v>
      </c>
      <c r="I34" s="0" t="n">
        <v>8</v>
      </c>
      <c r="J34" s="0" t="s">
        <v>155</v>
      </c>
      <c r="K34" s="0" t="s">
        <v>242</v>
      </c>
      <c r="L34" s="0" t="s">
        <v>346</v>
      </c>
      <c r="M34" s="0" t="s">
        <v>201</v>
      </c>
      <c r="N34" s="0" t="n">
        <v>1</v>
      </c>
      <c r="O34" s="0" t="s">
        <v>134</v>
      </c>
      <c r="P34" s="0" t="n">
        <v>1</v>
      </c>
      <c r="Q34" s="0" t="n">
        <v>2</v>
      </c>
      <c r="R34" s="0" t="n">
        <v>4</v>
      </c>
      <c r="S34" s="0" t="n">
        <v>3</v>
      </c>
      <c r="T34" s="0" t="n">
        <v>0</v>
      </c>
      <c r="U34" s="0" t="n">
        <v>7</v>
      </c>
      <c r="V34" s="0" t="n">
        <v>28</v>
      </c>
      <c r="W34" s="0" t="n">
        <v>20</v>
      </c>
      <c r="X34" s="0" t="n">
        <v>0</v>
      </c>
      <c r="Y34" s="0" t="n">
        <v>13</v>
      </c>
      <c r="Z34" s="0" t="n">
        <v>35</v>
      </c>
      <c r="AA34" s="0" t="s">
        <v>135</v>
      </c>
      <c r="AB34" s="0" t="s">
        <v>172</v>
      </c>
      <c r="AC34" s="0" t="s">
        <v>137</v>
      </c>
      <c r="AD34" s="0" t="n">
        <v>10</v>
      </c>
      <c r="AE34" s="0" t="s">
        <v>159</v>
      </c>
      <c r="AF34" s="0" t="s">
        <v>140</v>
      </c>
      <c r="AG34" s="0" t="s">
        <v>160</v>
      </c>
      <c r="AH34" s="0" t="n">
        <v>2</v>
      </c>
      <c r="AI34" s="0" t="n">
        <v>18</v>
      </c>
      <c r="AJ34" s="0" t="s">
        <v>141</v>
      </c>
      <c r="AK34" s="0" t="s">
        <v>162</v>
      </c>
      <c r="AL34" s="0" t="n">
        <v>1</v>
      </c>
      <c r="AM34" s="0" t="s">
        <v>137</v>
      </c>
      <c r="AN34" s="0" t="s">
        <v>137</v>
      </c>
      <c r="AO34" s="0" t="n">
        <v>8</v>
      </c>
      <c r="AP34" s="0" t="n">
        <v>3</v>
      </c>
      <c r="AQ34" s="0" t="s">
        <v>144</v>
      </c>
      <c r="AR34" s="0" t="n">
        <v>4</v>
      </c>
      <c r="AS34" s="0" t="n">
        <v>4</v>
      </c>
      <c r="AT34" s="0" t="n">
        <v>3</v>
      </c>
      <c r="AU34" s="0" t="n">
        <v>3</v>
      </c>
      <c r="AV34" s="0" t="n">
        <v>4.03</v>
      </c>
      <c r="AW34" s="0" t="n">
        <v>74</v>
      </c>
      <c r="AX34" s="0" t="n">
        <v>85</v>
      </c>
      <c r="AY34" s="0" t="n">
        <v>4.14</v>
      </c>
      <c r="AZ34" s="0" t="n">
        <v>8</v>
      </c>
      <c r="BA34" s="0" t="s">
        <v>145</v>
      </c>
      <c r="BB34" s="0" t="s">
        <v>146</v>
      </c>
      <c r="BC34" s="0" t="s">
        <v>186</v>
      </c>
      <c r="BD34" s="0" t="s">
        <v>164</v>
      </c>
      <c r="BE34" s="0" t="s">
        <v>149</v>
      </c>
      <c r="BF34" s="31" t="n">
        <v>46096.4205265857</v>
      </c>
      <c r="BG34" s="0" t="s">
        <v>137</v>
      </c>
    </row>
    <row r="35" customFormat="false" ht="15" hidden="false" customHeight="false" outlineLevel="0" collapsed="false">
      <c r="A35" s="0" t="s">
        <v>347</v>
      </c>
      <c r="B35" s="0" t="s">
        <v>348</v>
      </c>
      <c r="C35" s="0" t="s">
        <v>349</v>
      </c>
      <c r="D35" s="0" t="s">
        <v>350</v>
      </c>
      <c r="E35" s="0" t="s">
        <v>32</v>
      </c>
      <c r="F35" s="0" t="s">
        <v>23</v>
      </c>
      <c r="G35" s="0" t="s">
        <v>129</v>
      </c>
      <c r="H35" s="31" t="n">
        <v>42849</v>
      </c>
      <c r="I35" s="0" t="n">
        <v>19</v>
      </c>
      <c r="J35" s="0" t="s">
        <v>155</v>
      </c>
      <c r="K35" s="0" t="s">
        <v>131</v>
      </c>
      <c r="L35" s="0" t="s">
        <v>341</v>
      </c>
      <c r="M35" s="0" t="s">
        <v>133</v>
      </c>
      <c r="N35" s="0" t="n">
        <v>6</v>
      </c>
      <c r="O35" s="0" t="s">
        <v>182</v>
      </c>
      <c r="P35" s="0" t="n">
        <v>2</v>
      </c>
      <c r="Q35" s="0" t="n">
        <v>5</v>
      </c>
      <c r="R35" s="0" t="n">
        <v>2</v>
      </c>
      <c r="S35" s="0" t="n">
        <v>1</v>
      </c>
      <c r="T35" s="0" t="n">
        <v>1</v>
      </c>
      <c r="U35" s="0" t="n">
        <v>4</v>
      </c>
      <c r="V35" s="0" t="n">
        <v>16</v>
      </c>
      <c r="W35" s="0" t="n">
        <v>20</v>
      </c>
      <c r="X35" s="0" t="n">
        <v>0</v>
      </c>
      <c r="Y35" s="0" t="n">
        <v>16</v>
      </c>
      <c r="Z35" s="0" t="n">
        <v>20</v>
      </c>
      <c r="AA35" s="0" t="s">
        <v>135</v>
      </c>
      <c r="AB35" s="0" t="s">
        <v>136</v>
      </c>
      <c r="AC35" s="0" t="s">
        <v>143</v>
      </c>
      <c r="AD35" s="0" t="n">
        <v>7</v>
      </c>
      <c r="AE35" s="0" t="s">
        <v>215</v>
      </c>
      <c r="AF35" s="0" t="s">
        <v>139</v>
      </c>
      <c r="AG35" s="0" t="s">
        <v>140</v>
      </c>
      <c r="AH35" s="0" t="n">
        <v>2</v>
      </c>
      <c r="AI35" s="0" t="n">
        <v>16</v>
      </c>
      <c r="AJ35" s="0" t="s">
        <v>141</v>
      </c>
      <c r="AK35" s="0" t="s">
        <v>142</v>
      </c>
      <c r="AL35" s="0" t="n">
        <v>8</v>
      </c>
      <c r="AM35" s="0" t="s">
        <v>137</v>
      </c>
      <c r="AN35" s="0" t="s">
        <v>137</v>
      </c>
      <c r="AO35" s="0" t="n">
        <v>2</v>
      </c>
      <c r="AP35" s="0" t="n">
        <v>0</v>
      </c>
      <c r="AQ35" s="0" t="s">
        <v>144</v>
      </c>
      <c r="AR35" s="0" t="n">
        <v>0</v>
      </c>
      <c r="AS35" s="0" t="n">
        <v>0</v>
      </c>
      <c r="AT35" s="0" t="n">
        <v>0</v>
      </c>
      <c r="AU35" s="0" t="n">
        <v>3</v>
      </c>
      <c r="AV35" s="0" t="n">
        <v>4.45</v>
      </c>
      <c r="AW35" s="0" t="n">
        <v>94</v>
      </c>
      <c r="AX35" s="0" t="n">
        <v>84</v>
      </c>
      <c r="AY35" s="0" t="n">
        <v>4.33</v>
      </c>
      <c r="AZ35" s="0" t="n">
        <v>13</v>
      </c>
      <c r="BA35" s="0" t="s">
        <v>145</v>
      </c>
      <c r="BB35" s="0" t="s">
        <v>146</v>
      </c>
      <c r="BC35" s="0" t="s">
        <v>186</v>
      </c>
      <c r="BD35" s="0" t="s">
        <v>164</v>
      </c>
      <c r="BE35" s="0" t="s">
        <v>149</v>
      </c>
      <c r="BF35" s="31" t="n">
        <v>46096.4205265857</v>
      </c>
      <c r="BG35" s="0" t="s">
        <v>143</v>
      </c>
    </row>
    <row r="36" customFormat="false" ht="15" hidden="false" customHeight="false" outlineLevel="0" collapsed="false">
      <c r="A36" s="0" t="s">
        <v>351</v>
      </c>
      <c r="B36" s="0" t="s">
        <v>352</v>
      </c>
      <c r="C36" s="0" t="s">
        <v>353</v>
      </c>
      <c r="D36" s="0" t="s">
        <v>354</v>
      </c>
      <c r="E36" s="0" t="s">
        <v>37</v>
      </c>
      <c r="F36" s="0" t="s">
        <v>33</v>
      </c>
      <c r="G36" s="0" t="s">
        <v>154</v>
      </c>
      <c r="H36" s="31" t="n">
        <v>44140</v>
      </c>
      <c r="I36" s="0" t="n">
        <v>5</v>
      </c>
      <c r="J36" s="0" t="s">
        <v>220</v>
      </c>
      <c r="K36" s="0" t="s">
        <v>156</v>
      </c>
      <c r="L36" s="0" t="s">
        <v>355</v>
      </c>
      <c r="M36" s="0" t="s">
        <v>133</v>
      </c>
      <c r="N36" s="0" t="n">
        <v>6</v>
      </c>
      <c r="O36" s="0" t="s">
        <v>171</v>
      </c>
      <c r="P36" s="0" t="n">
        <v>2</v>
      </c>
      <c r="Q36" s="0" t="n">
        <v>2</v>
      </c>
      <c r="R36" s="0" t="n">
        <v>6</v>
      </c>
      <c r="S36" s="0" t="n">
        <v>0</v>
      </c>
      <c r="T36" s="0" t="n">
        <v>2</v>
      </c>
      <c r="U36" s="0" t="n">
        <v>8</v>
      </c>
      <c r="V36" s="0" t="n">
        <v>32</v>
      </c>
      <c r="W36" s="0" t="n">
        <v>20</v>
      </c>
      <c r="X36" s="0" t="n">
        <v>0</v>
      </c>
      <c r="Y36" s="0" t="n">
        <v>12</v>
      </c>
      <c r="Z36" s="0" t="n">
        <v>40</v>
      </c>
      <c r="AA36" s="0" t="s">
        <v>135</v>
      </c>
      <c r="AB36" s="0" t="s">
        <v>136</v>
      </c>
      <c r="AC36" s="0" t="s">
        <v>137</v>
      </c>
      <c r="AD36" s="0" t="n">
        <v>10</v>
      </c>
      <c r="AE36" s="0" t="s">
        <v>159</v>
      </c>
      <c r="AF36" s="0" t="s">
        <v>160</v>
      </c>
      <c r="AG36" s="0" t="s">
        <v>161</v>
      </c>
      <c r="AH36" s="0" t="n">
        <v>1</v>
      </c>
      <c r="AI36" s="0" t="n">
        <v>5</v>
      </c>
      <c r="AJ36" s="0" t="s">
        <v>174</v>
      </c>
      <c r="AK36" s="0" t="s">
        <v>162</v>
      </c>
      <c r="AL36" s="0" t="n">
        <v>5</v>
      </c>
      <c r="AM36" s="0" t="s">
        <v>137</v>
      </c>
      <c r="AN36" s="0" t="s">
        <v>137</v>
      </c>
      <c r="AO36" s="0" t="n">
        <v>10</v>
      </c>
      <c r="AP36" s="0" t="n">
        <v>6</v>
      </c>
      <c r="AQ36" s="0" t="s">
        <v>237</v>
      </c>
      <c r="AR36" s="0" t="n">
        <v>4</v>
      </c>
      <c r="AS36" s="0" t="n">
        <v>3</v>
      </c>
      <c r="AT36" s="0" t="n">
        <v>1</v>
      </c>
      <c r="AU36" s="0" t="n">
        <v>1</v>
      </c>
      <c r="AV36" s="0" t="n">
        <v>3.37</v>
      </c>
      <c r="AW36" s="0" t="n">
        <v>100</v>
      </c>
      <c r="AX36" s="0" t="n">
        <v>72</v>
      </c>
      <c r="AY36" s="0" t="n">
        <v>3.49</v>
      </c>
      <c r="AZ36" s="0" t="n">
        <v>5</v>
      </c>
      <c r="BA36" s="0" t="s">
        <v>163</v>
      </c>
      <c r="BB36" s="0" t="s">
        <v>146</v>
      </c>
      <c r="BC36" s="0" t="s">
        <v>186</v>
      </c>
      <c r="BD36" s="0" t="s">
        <v>148</v>
      </c>
      <c r="BE36" s="0" t="s">
        <v>176</v>
      </c>
      <c r="BF36" s="31" t="n">
        <v>46096.4205265857</v>
      </c>
      <c r="BG36" s="0" t="s">
        <v>143</v>
      </c>
    </row>
    <row r="37" customFormat="false" ht="15" hidden="false" customHeight="false" outlineLevel="0" collapsed="false">
      <c r="A37" s="0" t="s">
        <v>356</v>
      </c>
      <c r="B37" s="0" t="s">
        <v>357</v>
      </c>
      <c r="C37" s="0" t="s">
        <v>358</v>
      </c>
      <c r="D37" s="0" t="s">
        <v>359</v>
      </c>
      <c r="E37" s="0" t="s">
        <v>22</v>
      </c>
      <c r="F37" s="0" t="s">
        <v>28</v>
      </c>
      <c r="G37" s="0" t="s">
        <v>129</v>
      </c>
      <c r="H37" s="31" t="n">
        <v>42540</v>
      </c>
      <c r="I37" s="0" t="n">
        <v>5</v>
      </c>
      <c r="J37" s="0" t="s">
        <v>155</v>
      </c>
      <c r="K37" s="0" t="s">
        <v>156</v>
      </c>
      <c r="L37" s="0" t="s">
        <v>360</v>
      </c>
      <c r="M37" s="0" t="s">
        <v>201</v>
      </c>
      <c r="N37" s="0" t="n">
        <v>2</v>
      </c>
      <c r="O37" s="0" t="s">
        <v>134</v>
      </c>
      <c r="P37" s="0" t="n">
        <v>4</v>
      </c>
      <c r="Q37" s="0" t="n">
        <v>3</v>
      </c>
      <c r="R37" s="0" t="n">
        <v>6</v>
      </c>
      <c r="S37" s="0" t="n">
        <v>0</v>
      </c>
      <c r="T37" s="0" t="n">
        <v>1</v>
      </c>
      <c r="U37" s="0" t="n">
        <v>7</v>
      </c>
      <c r="V37" s="0" t="n">
        <v>28</v>
      </c>
      <c r="W37" s="0" t="n">
        <v>20</v>
      </c>
      <c r="X37" s="0" t="n">
        <v>0</v>
      </c>
      <c r="Y37" s="0" t="n">
        <v>13</v>
      </c>
      <c r="Z37" s="0" t="n">
        <v>35</v>
      </c>
      <c r="AA37" s="0" t="s">
        <v>135</v>
      </c>
      <c r="AB37" s="0" t="s">
        <v>172</v>
      </c>
      <c r="AC37" s="0" t="s">
        <v>137</v>
      </c>
      <c r="AD37" s="0" t="n">
        <v>8</v>
      </c>
      <c r="AE37" s="0" t="s">
        <v>183</v>
      </c>
      <c r="AF37" s="0" t="s">
        <v>202</v>
      </c>
      <c r="AG37" s="0" t="s">
        <v>184</v>
      </c>
      <c r="AH37" s="0" t="n">
        <v>1</v>
      </c>
      <c r="AI37" s="0" t="n">
        <v>17</v>
      </c>
      <c r="AJ37" s="0" t="s">
        <v>141</v>
      </c>
      <c r="AK37" s="0" t="s">
        <v>162</v>
      </c>
      <c r="AL37" s="0" t="n">
        <v>8</v>
      </c>
      <c r="AM37" s="0" t="s">
        <v>137</v>
      </c>
      <c r="AN37" s="0" t="s">
        <v>143</v>
      </c>
      <c r="AO37" s="0" t="n">
        <v>2</v>
      </c>
      <c r="AP37" s="0" t="n">
        <v>0</v>
      </c>
      <c r="AQ37" s="0" t="s">
        <v>175</v>
      </c>
      <c r="AR37" s="0" t="n">
        <v>5</v>
      </c>
      <c r="AS37" s="0" t="n">
        <v>1</v>
      </c>
      <c r="AT37" s="0" t="n">
        <v>4</v>
      </c>
      <c r="AU37" s="0" t="n">
        <v>5</v>
      </c>
      <c r="AV37" s="0" t="n">
        <v>3.99</v>
      </c>
      <c r="AW37" s="0" t="n">
        <v>88</v>
      </c>
      <c r="AX37" s="0" t="n">
        <v>92</v>
      </c>
      <c r="AY37" s="0" t="n">
        <v>4.29</v>
      </c>
      <c r="AZ37" s="0" t="n">
        <v>5</v>
      </c>
      <c r="BA37" s="0" t="s">
        <v>163</v>
      </c>
      <c r="BB37" s="0" t="s">
        <v>146</v>
      </c>
      <c r="BC37" s="0" t="s">
        <v>186</v>
      </c>
      <c r="BD37" s="0" t="s">
        <v>148</v>
      </c>
      <c r="BE37" s="0" t="s">
        <v>176</v>
      </c>
      <c r="BF37" s="31" t="n">
        <v>46096.4205265857</v>
      </c>
      <c r="BG37" s="0" t="s">
        <v>143</v>
      </c>
    </row>
    <row r="38" customFormat="false" ht="15" hidden="false" customHeight="false" outlineLevel="0" collapsed="false">
      <c r="A38" s="0" t="s">
        <v>361</v>
      </c>
      <c r="B38" s="0" t="s">
        <v>362</v>
      </c>
      <c r="C38" s="0" t="s">
        <v>363</v>
      </c>
      <c r="D38" s="0" t="s">
        <v>364</v>
      </c>
      <c r="E38" s="0" t="s">
        <v>27</v>
      </c>
      <c r="F38" s="0" t="s">
        <v>23</v>
      </c>
      <c r="G38" s="0" t="s">
        <v>198</v>
      </c>
      <c r="H38" s="31" t="n">
        <v>43426</v>
      </c>
      <c r="I38" s="0" t="n">
        <v>4</v>
      </c>
      <c r="J38" s="0" t="s">
        <v>155</v>
      </c>
      <c r="K38" s="0" t="s">
        <v>191</v>
      </c>
      <c r="L38" s="0" t="s">
        <v>365</v>
      </c>
      <c r="M38" s="0" t="s">
        <v>158</v>
      </c>
      <c r="N38" s="0" t="n">
        <v>2</v>
      </c>
      <c r="O38" s="0" t="s">
        <v>171</v>
      </c>
      <c r="P38" s="0" t="n">
        <v>2</v>
      </c>
      <c r="Q38" s="0" t="n">
        <v>4</v>
      </c>
      <c r="R38" s="0" t="n">
        <v>3</v>
      </c>
      <c r="S38" s="0" t="n">
        <v>2</v>
      </c>
      <c r="T38" s="0" t="n">
        <v>0</v>
      </c>
      <c r="U38" s="0" t="n">
        <v>5</v>
      </c>
      <c r="V38" s="0" t="n">
        <v>20</v>
      </c>
      <c r="W38" s="0" t="n">
        <v>20</v>
      </c>
      <c r="X38" s="0" t="n">
        <v>0</v>
      </c>
      <c r="Y38" s="0" t="n">
        <v>15</v>
      </c>
      <c r="Z38" s="0" t="n">
        <v>25</v>
      </c>
      <c r="AA38" s="0" t="s">
        <v>135</v>
      </c>
      <c r="AB38" s="0" t="s">
        <v>136</v>
      </c>
      <c r="AC38" s="0" t="s">
        <v>143</v>
      </c>
      <c r="AD38" s="0" t="n">
        <v>7</v>
      </c>
      <c r="AE38" s="0" t="s">
        <v>159</v>
      </c>
      <c r="AF38" s="0" t="s">
        <v>173</v>
      </c>
      <c r="AG38" s="0" t="s">
        <v>160</v>
      </c>
      <c r="AH38" s="0" t="n">
        <v>1</v>
      </c>
      <c r="AI38" s="0" t="n">
        <v>11</v>
      </c>
      <c r="AJ38" s="0" t="s">
        <v>185</v>
      </c>
      <c r="AK38" s="0" t="s">
        <v>162</v>
      </c>
      <c r="AL38" s="0" t="n">
        <v>10</v>
      </c>
      <c r="AM38" s="0" t="s">
        <v>143</v>
      </c>
      <c r="AN38" s="0" t="s">
        <v>143</v>
      </c>
      <c r="AO38" s="0" t="n">
        <v>3</v>
      </c>
      <c r="AP38" s="0" t="n">
        <v>2</v>
      </c>
      <c r="AQ38" s="0" t="s">
        <v>144</v>
      </c>
      <c r="AR38" s="0" t="n">
        <v>5</v>
      </c>
      <c r="AS38" s="0" t="n">
        <v>2</v>
      </c>
      <c r="AT38" s="0" t="n">
        <v>4</v>
      </c>
      <c r="AU38" s="0" t="n">
        <v>1</v>
      </c>
      <c r="AV38" s="0" t="n">
        <v>4.99</v>
      </c>
      <c r="AW38" s="0" t="n">
        <v>85</v>
      </c>
      <c r="AX38" s="0" t="n">
        <v>77</v>
      </c>
      <c r="AY38" s="0" t="n">
        <v>4.42</v>
      </c>
      <c r="AZ38" s="0" t="n">
        <v>12</v>
      </c>
      <c r="BA38" s="0" t="s">
        <v>145</v>
      </c>
      <c r="BB38" s="0" t="s">
        <v>146</v>
      </c>
      <c r="BC38" s="0" t="s">
        <v>40</v>
      </c>
      <c r="BD38" s="0" t="s">
        <v>164</v>
      </c>
      <c r="BE38" s="0" t="s">
        <v>176</v>
      </c>
      <c r="BF38" s="31" t="n">
        <v>46096.4205265857</v>
      </c>
      <c r="BG38" s="0" t="s">
        <v>137</v>
      </c>
    </row>
    <row r="39" customFormat="false" ht="15" hidden="false" customHeight="false" outlineLevel="0" collapsed="false">
      <c r="A39" s="0" t="s">
        <v>366</v>
      </c>
      <c r="B39" s="0" t="s">
        <v>367</v>
      </c>
      <c r="C39" s="0" t="s">
        <v>368</v>
      </c>
      <c r="D39" s="0" t="s">
        <v>369</v>
      </c>
      <c r="E39" s="0" t="s">
        <v>39</v>
      </c>
      <c r="F39" s="0" t="s">
        <v>23</v>
      </c>
      <c r="G39" s="0" t="s">
        <v>154</v>
      </c>
      <c r="H39" s="31" t="n">
        <v>43131</v>
      </c>
      <c r="I39" s="0" t="n">
        <v>15</v>
      </c>
      <c r="J39" s="0" t="s">
        <v>130</v>
      </c>
      <c r="K39" s="0" t="s">
        <v>131</v>
      </c>
      <c r="L39" s="0" t="s">
        <v>370</v>
      </c>
      <c r="M39" s="0" t="s">
        <v>158</v>
      </c>
      <c r="N39" s="0" t="n">
        <v>5</v>
      </c>
      <c r="O39" s="0" t="s">
        <v>171</v>
      </c>
      <c r="P39" s="0" t="n">
        <v>1</v>
      </c>
      <c r="Q39" s="0" t="n">
        <v>5</v>
      </c>
      <c r="R39" s="0" t="n">
        <v>5</v>
      </c>
      <c r="S39" s="0" t="n">
        <v>1</v>
      </c>
      <c r="T39" s="0" t="n">
        <v>0</v>
      </c>
      <c r="U39" s="0" t="n">
        <v>6</v>
      </c>
      <c r="V39" s="0" t="n">
        <v>24</v>
      </c>
      <c r="W39" s="0" t="n">
        <v>20</v>
      </c>
      <c r="X39" s="0" t="n">
        <v>0</v>
      </c>
      <c r="Y39" s="0" t="n">
        <v>14</v>
      </c>
      <c r="Z39" s="0" t="n">
        <v>30</v>
      </c>
      <c r="AA39" s="0" t="s">
        <v>135</v>
      </c>
      <c r="AB39" s="0" t="s">
        <v>136</v>
      </c>
      <c r="AC39" s="0" t="s">
        <v>143</v>
      </c>
      <c r="AD39" s="0" t="n">
        <v>10</v>
      </c>
      <c r="AE39" s="0" t="s">
        <v>159</v>
      </c>
      <c r="AF39" s="0" t="s">
        <v>160</v>
      </c>
      <c r="AG39" s="0" t="s">
        <v>202</v>
      </c>
      <c r="AH39" s="0" t="n">
        <v>2</v>
      </c>
      <c r="AI39" s="0" t="n">
        <v>10</v>
      </c>
      <c r="AJ39" s="0" t="s">
        <v>193</v>
      </c>
      <c r="AK39" s="0" t="s">
        <v>162</v>
      </c>
      <c r="AL39" s="0" t="n">
        <v>6</v>
      </c>
      <c r="AM39" s="0" t="s">
        <v>137</v>
      </c>
      <c r="AN39" s="0" t="s">
        <v>137</v>
      </c>
      <c r="AO39" s="0" t="n">
        <v>8</v>
      </c>
      <c r="AP39" s="0" t="n">
        <v>5</v>
      </c>
      <c r="AQ39" s="0" t="s">
        <v>237</v>
      </c>
      <c r="AR39" s="0" t="n">
        <v>5</v>
      </c>
      <c r="AS39" s="0" t="n">
        <v>2</v>
      </c>
      <c r="AT39" s="0" t="n">
        <v>4</v>
      </c>
      <c r="AU39" s="0" t="n">
        <v>3</v>
      </c>
      <c r="AV39" s="0" t="n">
        <v>4.21</v>
      </c>
      <c r="AW39" s="0" t="n">
        <v>80</v>
      </c>
      <c r="AX39" s="0" t="n">
        <v>81</v>
      </c>
      <c r="AY39" s="0" t="n">
        <v>4.13</v>
      </c>
      <c r="AZ39" s="0" t="n">
        <v>7</v>
      </c>
      <c r="BA39" s="0" t="s">
        <v>163</v>
      </c>
      <c r="BB39" s="0" t="s">
        <v>146</v>
      </c>
      <c r="BC39" s="0" t="s">
        <v>40</v>
      </c>
      <c r="BD39" s="0" t="s">
        <v>148</v>
      </c>
      <c r="BE39" s="0" t="s">
        <v>176</v>
      </c>
      <c r="BF39" s="31" t="n">
        <v>46096.4205265857</v>
      </c>
      <c r="BG39" s="0" t="s">
        <v>143</v>
      </c>
    </row>
    <row r="40" customFormat="false" ht="15" hidden="false" customHeight="false" outlineLevel="0" collapsed="false">
      <c r="A40" s="0" t="s">
        <v>371</v>
      </c>
      <c r="B40" s="0" t="s">
        <v>372</v>
      </c>
      <c r="C40" s="0" t="s">
        <v>373</v>
      </c>
      <c r="D40" s="0" t="s">
        <v>374</v>
      </c>
      <c r="E40" s="0" t="s">
        <v>32</v>
      </c>
      <c r="F40" s="0" t="s">
        <v>33</v>
      </c>
      <c r="G40" s="0" t="s">
        <v>154</v>
      </c>
      <c r="H40" s="31" t="n">
        <v>43477</v>
      </c>
      <c r="I40" s="0" t="n">
        <v>18</v>
      </c>
      <c r="J40" s="0" t="s">
        <v>155</v>
      </c>
      <c r="K40" s="0" t="s">
        <v>199</v>
      </c>
      <c r="L40" s="0" t="s">
        <v>375</v>
      </c>
      <c r="M40" s="0" t="s">
        <v>201</v>
      </c>
      <c r="N40" s="0" t="n">
        <v>3</v>
      </c>
      <c r="O40" s="0" t="s">
        <v>171</v>
      </c>
      <c r="P40" s="0" t="n">
        <v>2</v>
      </c>
      <c r="Q40" s="0" t="n">
        <v>3</v>
      </c>
      <c r="R40" s="0" t="n">
        <v>6</v>
      </c>
      <c r="S40" s="0" t="n">
        <v>2</v>
      </c>
      <c r="T40" s="0" t="n">
        <v>2</v>
      </c>
      <c r="U40" s="0" t="n">
        <v>10</v>
      </c>
      <c r="V40" s="0" t="n">
        <v>40</v>
      </c>
      <c r="W40" s="0" t="n">
        <v>20</v>
      </c>
      <c r="X40" s="0" t="n">
        <v>0</v>
      </c>
      <c r="Y40" s="0" t="n">
        <v>10</v>
      </c>
      <c r="Z40" s="0" t="n">
        <v>50</v>
      </c>
      <c r="AA40" s="0" t="s">
        <v>135</v>
      </c>
      <c r="AB40" s="0" t="s">
        <v>172</v>
      </c>
      <c r="AC40" s="0" t="s">
        <v>137</v>
      </c>
      <c r="AD40" s="0" t="n">
        <v>6</v>
      </c>
      <c r="AE40" s="0" t="s">
        <v>159</v>
      </c>
      <c r="AF40" s="0" t="s">
        <v>202</v>
      </c>
      <c r="AG40" s="0" t="s">
        <v>184</v>
      </c>
      <c r="AH40" s="0" t="n">
        <v>1</v>
      </c>
      <c r="AI40" s="0" t="n">
        <v>17</v>
      </c>
      <c r="AJ40" s="0" t="s">
        <v>250</v>
      </c>
      <c r="AK40" s="0" t="s">
        <v>162</v>
      </c>
      <c r="AL40" s="0" t="n">
        <v>2</v>
      </c>
      <c r="AM40" s="0" t="s">
        <v>137</v>
      </c>
      <c r="AN40" s="0" t="s">
        <v>143</v>
      </c>
      <c r="AO40" s="0" t="n">
        <v>10</v>
      </c>
      <c r="AP40" s="0" t="n">
        <v>5</v>
      </c>
      <c r="AQ40" s="0" t="s">
        <v>237</v>
      </c>
      <c r="AR40" s="0" t="n">
        <v>5</v>
      </c>
      <c r="AS40" s="0" t="n">
        <v>3</v>
      </c>
      <c r="AT40" s="0" t="n">
        <v>5</v>
      </c>
      <c r="AU40" s="0" t="n">
        <v>6</v>
      </c>
      <c r="AV40" s="0" t="n">
        <v>3.18</v>
      </c>
      <c r="AW40" s="0" t="n">
        <v>69</v>
      </c>
      <c r="AX40" s="0" t="n">
        <v>79</v>
      </c>
      <c r="AY40" s="0" t="n">
        <v>3.57</v>
      </c>
      <c r="AZ40" s="0" t="n">
        <v>5</v>
      </c>
      <c r="BA40" s="0" t="s">
        <v>145</v>
      </c>
      <c r="BB40" s="0" t="s">
        <v>146</v>
      </c>
      <c r="BC40" s="0" t="s">
        <v>186</v>
      </c>
      <c r="BD40" s="0" t="s">
        <v>148</v>
      </c>
      <c r="BE40" s="0" t="s">
        <v>149</v>
      </c>
      <c r="BF40" s="31" t="n">
        <v>46096.4205265857</v>
      </c>
      <c r="BG40" s="0" t="s">
        <v>143</v>
      </c>
    </row>
    <row r="41" customFormat="false" ht="15" hidden="false" customHeight="false" outlineLevel="0" collapsed="false">
      <c r="A41" s="0" t="s">
        <v>376</v>
      </c>
      <c r="B41" s="0" t="s">
        <v>377</v>
      </c>
      <c r="C41" s="0" t="s">
        <v>378</v>
      </c>
      <c r="D41" s="0" t="s">
        <v>379</v>
      </c>
      <c r="E41" s="0" t="s">
        <v>27</v>
      </c>
      <c r="F41" s="0" t="s">
        <v>28</v>
      </c>
      <c r="G41" s="0" t="s">
        <v>198</v>
      </c>
      <c r="H41" s="31" t="n">
        <v>43625</v>
      </c>
      <c r="I41" s="0" t="n">
        <v>16</v>
      </c>
      <c r="J41" s="0" t="s">
        <v>169</v>
      </c>
      <c r="K41" s="0" t="s">
        <v>242</v>
      </c>
      <c r="L41" s="0" t="s">
        <v>380</v>
      </c>
      <c r="M41" s="0" t="s">
        <v>201</v>
      </c>
      <c r="N41" s="0" t="n">
        <v>3</v>
      </c>
      <c r="O41" s="0" t="s">
        <v>182</v>
      </c>
      <c r="P41" s="0" t="n">
        <v>4</v>
      </c>
      <c r="Q41" s="0" t="n">
        <v>5</v>
      </c>
      <c r="R41" s="0" t="n">
        <v>2</v>
      </c>
      <c r="S41" s="0" t="n">
        <v>1</v>
      </c>
      <c r="T41" s="0" t="n">
        <v>0</v>
      </c>
      <c r="U41" s="0" t="n">
        <v>3</v>
      </c>
      <c r="V41" s="0" t="n">
        <v>12</v>
      </c>
      <c r="W41" s="0" t="n">
        <v>20</v>
      </c>
      <c r="X41" s="0" t="n">
        <v>0</v>
      </c>
      <c r="Y41" s="0" t="n">
        <v>17</v>
      </c>
      <c r="Z41" s="0" t="n">
        <v>15</v>
      </c>
      <c r="AA41" s="0" t="s">
        <v>135</v>
      </c>
      <c r="AB41" s="0" t="s">
        <v>136</v>
      </c>
      <c r="AC41" s="0" t="s">
        <v>143</v>
      </c>
      <c r="AD41" s="0" t="n">
        <v>6</v>
      </c>
      <c r="AE41" s="0" t="s">
        <v>215</v>
      </c>
      <c r="AF41" s="0" t="s">
        <v>184</v>
      </c>
      <c r="AG41" s="0" t="s">
        <v>307</v>
      </c>
      <c r="AH41" s="0" t="n">
        <v>1</v>
      </c>
      <c r="AI41" s="0" t="n">
        <v>8</v>
      </c>
      <c r="AJ41" s="0" t="s">
        <v>250</v>
      </c>
      <c r="AK41" s="0" t="s">
        <v>142</v>
      </c>
      <c r="AL41" s="0" t="n">
        <v>10</v>
      </c>
      <c r="AM41" s="0" t="s">
        <v>137</v>
      </c>
      <c r="AN41" s="0" t="s">
        <v>137</v>
      </c>
      <c r="AO41" s="0" t="n">
        <v>9</v>
      </c>
      <c r="AP41" s="0" t="n">
        <v>4</v>
      </c>
      <c r="AQ41" s="0" t="s">
        <v>203</v>
      </c>
      <c r="AR41" s="0" t="n">
        <v>3</v>
      </c>
      <c r="AS41" s="0" t="n">
        <v>1</v>
      </c>
      <c r="AT41" s="0" t="n">
        <v>3</v>
      </c>
      <c r="AU41" s="0" t="n">
        <v>0</v>
      </c>
      <c r="AV41" s="0" t="n">
        <v>3.82</v>
      </c>
      <c r="AW41" s="0" t="n">
        <v>66</v>
      </c>
      <c r="AX41" s="0" t="n">
        <v>82</v>
      </c>
      <c r="AY41" s="0" t="n">
        <v>3.96</v>
      </c>
      <c r="AZ41" s="0" t="n">
        <v>5</v>
      </c>
      <c r="BA41" s="0" t="s">
        <v>163</v>
      </c>
      <c r="BB41" s="0" t="s">
        <v>146</v>
      </c>
      <c r="BC41" s="0" t="s">
        <v>186</v>
      </c>
      <c r="BD41" s="0" t="s">
        <v>164</v>
      </c>
      <c r="BE41" s="0" t="s">
        <v>149</v>
      </c>
      <c r="BF41" s="31" t="n">
        <v>46096.4205265857</v>
      </c>
      <c r="BG41" s="0" t="s">
        <v>143</v>
      </c>
    </row>
    <row r="42" customFormat="false" ht="15" hidden="false" customHeight="false" outlineLevel="0" collapsed="false">
      <c r="A42" s="0" t="s">
        <v>381</v>
      </c>
      <c r="B42" s="0" t="s">
        <v>382</v>
      </c>
      <c r="C42" s="0" t="s">
        <v>383</v>
      </c>
      <c r="D42" s="0" t="s">
        <v>384</v>
      </c>
      <c r="E42" s="0" t="s">
        <v>37</v>
      </c>
      <c r="F42" s="0" t="s">
        <v>23</v>
      </c>
      <c r="G42" s="0" t="s">
        <v>129</v>
      </c>
      <c r="H42" s="31" t="n">
        <v>44388</v>
      </c>
      <c r="I42" s="0" t="n">
        <v>1</v>
      </c>
      <c r="J42" s="0" t="s">
        <v>220</v>
      </c>
      <c r="K42" s="0" t="s">
        <v>191</v>
      </c>
      <c r="L42" s="0" t="s">
        <v>385</v>
      </c>
      <c r="M42" s="0" t="s">
        <v>133</v>
      </c>
      <c r="N42" s="0" t="n">
        <v>2</v>
      </c>
      <c r="O42" s="0" t="s">
        <v>171</v>
      </c>
      <c r="P42" s="0" t="n">
        <v>3</v>
      </c>
      <c r="Q42" s="0" t="n">
        <v>4</v>
      </c>
      <c r="R42" s="0" t="n">
        <v>2</v>
      </c>
      <c r="S42" s="0" t="n">
        <v>0</v>
      </c>
      <c r="T42" s="0" t="n">
        <v>2</v>
      </c>
      <c r="U42" s="0" t="n">
        <v>4</v>
      </c>
      <c r="V42" s="0" t="n">
        <v>16</v>
      </c>
      <c r="W42" s="0" t="n">
        <v>20</v>
      </c>
      <c r="X42" s="0" t="n">
        <v>0</v>
      </c>
      <c r="Y42" s="0" t="n">
        <v>16</v>
      </c>
      <c r="Z42" s="0" t="n">
        <v>20</v>
      </c>
      <c r="AA42" s="0" t="s">
        <v>135</v>
      </c>
      <c r="AB42" s="0" t="s">
        <v>136</v>
      </c>
      <c r="AC42" s="0" t="s">
        <v>137</v>
      </c>
      <c r="AD42" s="0" t="n">
        <v>5</v>
      </c>
      <c r="AE42" s="0" t="s">
        <v>138</v>
      </c>
      <c r="AF42" s="0" t="s">
        <v>140</v>
      </c>
      <c r="AG42" s="0" t="s">
        <v>173</v>
      </c>
      <c r="AH42" s="0" t="n">
        <v>1</v>
      </c>
      <c r="AI42" s="0" t="n">
        <v>13</v>
      </c>
      <c r="AJ42" s="0" t="s">
        <v>250</v>
      </c>
      <c r="AK42" s="0" t="s">
        <v>142</v>
      </c>
      <c r="AL42" s="0" t="n">
        <v>7</v>
      </c>
      <c r="AM42" s="0" t="s">
        <v>143</v>
      </c>
      <c r="AN42" s="0" t="s">
        <v>137</v>
      </c>
      <c r="AO42" s="0" t="n">
        <v>3</v>
      </c>
      <c r="AP42" s="0" t="n">
        <v>1</v>
      </c>
      <c r="AQ42" s="0" t="s">
        <v>144</v>
      </c>
      <c r="AR42" s="0" t="n">
        <v>5</v>
      </c>
      <c r="AS42" s="0" t="n">
        <v>0</v>
      </c>
      <c r="AT42" s="0" t="n">
        <v>3</v>
      </c>
      <c r="AU42" s="0" t="n">
        <v>4</v>
      </c>
      <c r="AV42" s="0" t="n">
        <v>4.42</v>
      </c>
      <c r="AW42" s="0" t="n">
        <v>60</v>
      </c>
      <c r="AX42" s="0" t="n">
        <v>79</v>
      </c>
      <c r="AY42" s="0" t="n">
        <v>4.19</v>
      </c>
      <c r="AZ42" s="0" t="n">
        <v>12</v>
      </c>
      <c r="BA42" s="0" t="s">
        <v>145</v>
      </c>
      <c r="BB42" s="0" t="s">
        <v>146</v>
      </c>
      <c r="BC42" s="0" t="s">
        <v>40</v>
      </c>
      <c r="BD42" s="0" t="s">
        <v>148</v>
      </c>
      <c r="BE42" s="0" t="s">
        <v>149</v>
      </c>
      <c r="BF42" s="31" t="n">
        <v>46096.4205265857</v>
      </c>
      <c r="BG42" s="0" t="s">
        <v>137</v>
      </c>
    </row>
    <row r="43" customFormat="false" ht="15" hidden="false" customHeight="false" outlineLevel="0" collapsed="false">
      <c r="A43" s="0" t="s">
        <v>386</v>
      </c>
      <c r="B43" s="0" t="s">
        <v>387</v>
      </c>
      <c r="C43" s="0" t="s">
        <v>388</v>
      </c>
      <c r="D43" s="0" t="s">
        <v>389</v>
      </c>
      <c r="E43" s="0" t="s">
        <v>27</v>
      </c>
      <c r="F43" s="0" t="s">
        <v>28</v>
      </c>
      <c r="G43" s="0" t="s">
        <v>129</v>
      </c>
      <c r="H43" s="31" t="n">
        <v>43052</v>
      </c>
      <c r="I43" s="0" t="n">
        <v>9</v>
      </c>
      <c r="J43" s="0" t="s">
        <v>155</v>
      </c>
      <c r="K43" s="0" t="s">
        <v>156</v>
      </c>
      <c r="L43" s="0" t="s">
        <v>390</v>
      </c>
      <c r="M43" s="0" t="s">
        <v>158</v>
      </c>
      <c r="N43" s="0" t="n">
        <v>3</v>
      </c>
      <c r="O43" s="0" t="s">
        <v>134</v>
      </c>
      <c r="P43" s="0" t="n">
        <v>1</v>
      </c>
      <c r="Q43" s="0" t="n">
        <v>2</v>
      </c>
      <c r="R43" s="0" t="n">
        <v>5</v>
      </c>
      <c r="S43" s="0" t="n">
        <v>1</v>
      </c>
      <c r="T43" s="0" t="n">
        <v>0</v>
      </c>
      <c r="U43" s="0" t="n">
        <v>6</v>
      </c>
      <c r="V43" s="0" t="n">
        <v>24</v>
      </c>
      <c r="W43" s="0" t="n">
        <v>20</v>
      </c>
      <c r="X43" s="0" t="n">
        <v>0</v>
      </c>
      <c r="Y43" s="0" t="n">
        <v>14</v>
      </c>
      <c r="Z43" s="0" t="n">
        <v>30</v>
      </c>
      <c r="AA43" s="0" t="s">
        <v>135</v>
      </c>
      <c r="AB43" s="0" t="s">
        <v>172</v>
      </c>
      <c r="AC43" s="0" t="s">
        <v>137</v>
      </c>
      <c r="AD43" s="0" t="n">
        <v>3</v>
      </c>
      <c r="AE43" s="0" t="s">
        <v>183</v>
      </c>
      <c r="AF43" s="0" t="s">
        <v>202</v>
      </c>
      <c r="AG43" s="0" t="s">
        <v>184</v>
      </c>
      <c r="AH43" s="0" t="n">
        <v>1</v>
      </c>
      <c r="AI43" s="0" t="n">
        <v>11</v>
      </c>
      <c r="AJ43" s="0" t="s">
        <v>193</v>
      </c>
      <c r="AK43" s="0" t="s">
        <v>142</v>
      </c>
      <c r="AL43" s="0" t="n">
        <v>10</v>
      </c>
      <c r="AM43" s="0" t="s">
        <v>137</v>
      </c>
      <c r="AN43" s="0" t="s">
        <v>143</v>
      </c>
      <c r="AO43" s="0" t="n">
        <v>1</v>
      </c>
      <c r="AP43" s="0" t="n">
        <v>8</v>
      </c>
      <c r="AQ43" s="0" t="s">
        <v>175</v>
      </c>
      <c r="AR43" s="0" t="n">
        <v>2</v>
      </c>
      <c r="AS43" s="0" t="n">
        <v>3</v>
      </c>
      <c r="AT43" s="0" t="n">
        <v>4</v>
      </c>
      <c r="AU43" s="0" t="n">
        <v>0</v>
      </c>
      <c r="AV43" s="0" t="n">
        <v>4.37</v>
      </c>
      <c r="AW43" s="0" t="n">
        <v>60</v>
      </c>
      <c r="AX43" s="0" t="n">
        <v>75</v>
      </c>
      <c r="AY43" s="0" t="n">
        <v>4.06</v>
      </c>
      <c r="AZ43" s="0" t="n">
        <v>7</v>
      </c>
      <c r="BA43" s="0" t="s">
        <v>163</v>
      </c>
      <c r="BB43" s="0" t="s">
        <v>146</v>
      </c>
      <c r="BC43" s="0" t="s">
        <v>40</v>
      </c>
      <c r="BD43" s="0" t="s">
        <v>164</v>
      </c>
      <c r="BE43" s="0" t="s">
        <v>176</v>
      </c>
      <c r="BF43" s="31" t="n">
        <v>46096.4205265857</v>
      </c>
      <c r="BG43" s="0" t="s">
        <v>137</v>
      </c>
    </row>
    <row r="44" customFormat="false" ht="15" hidden="false" customHeight="false" outlineLevel="0" collapsed="false">
      <c r="A44" s="0" t="s">
        <v>391</v>
      </c>
      <c r="B44" s="0" t="s">
        <v>392</v>
      </c>
      <c r="C44" s="0" t="s">
        <v>393</v>
      </c>
      <c r="D44" s="0" t="s">
        <v>394</v>
      </c>
      <c r="E44" s="0" t="s">
        <v>22</v>
      </c>
      <c r="F44" s="0" t="s">
        <v>23</v>
      </c>
      <c r="G44" s="0" t="s">
        <v>154</v>
      </c>
      <c r="H44" s="31" t="n">
        <v>43402</v>
      </c>
      <c r="I44" s="0" t="n">
        <v>12</v>
      </c>
      <c r="J44" s="0" t="s">
        <v>220</v>
      </c>
      <c r="K44" s="0" t="s">
        <v>131</v>
      </c>
      <c r="L44" s="0" t="s">
        <v>360</v>
      </c>
      <c r="M44" s="0" t="s">
        <v>201</v>
      </c>
      <c r="N44" s="0" t="n">
        <v>2</v>
      </c>
      <c r="O44" s="0" t="s">
        <v>171</v>
      </c>
      <c r="P44" s="0" t="n">
        <v>2</v>
      </c>
      <c r="Q44" s="0" t="n">
        <v>4</v>
      </c>
      <c r="R44" s="0" t="n">
        <v>3</v>
      </c>
      <c r="S44" s="0" t="n">
        <v>2</v>
      </c>
      <c r="T44" s="0" t="n">
        <v>2</v>
      </c>
      <c r="U44" s="0" t="n">
        <v>7</v>
      </c>
      <c r="V44" s="0" t="n">
        <v>28</v>
      </c>
      <c r="W44" s="0" t="n">
        <v>20</v>
      </c>
      <c r="X44" s="0" t="n">
        <v>0</v>
      </c>
      <c r="Y44" s="0" t="n">
        <v>13</v>
      </c>
      <c r="Z44" s="0" t="n">
        <v>35</v>
      </c>
      <c r="AA44" s="0" t="s">
        <v>135</v>
      </c>
      <c r="AB44" s="0" t="s">
        <v>136</v>
      </c>
      <c r="AC44" s="0" t="s">
        <v>137</v>
      </c>
      <c r="AD44" s="0" t="n">
        <v>7</v>
      </c>
      <c r="AE44" s="0" t="s">
        <v>215</v>
      </c>
      <c r="AF44" s="0" t="s">
        <v>209</v>
      </c>
      <c r="AG44" s="0" t="s">
        <v>140</v>
      </c>
      <c r="AH44" s="0" t="n">
        <v>1</v>
      </c>
      <c r="AI44" s="0" t="n">
        <v>13</v>
      </c>
      <c r="AJ44" s="0" t="s">
        <v>185</v>
      </c>
      <c r="AK44" s="0" t="s">
        <v>142</v>
      </c>
      <c r="AL44" s="0" t="n">
        <v>10</v>
      </c>
      <c r="AM44" s="0" t="s">
        <v>137</v>
      </c>
      <c r="AN44" s="0" t="s">
        <v>137</v>
      </c>
      <c r="AO44" s="0" t="n">
        <v>9</v>
      </c>
      <c r="AP44" s="0" t="n">
        <v>8</v>
      </c>
      <c r="AQ44" s="0" t="s">
        <v>175</v>
      </c>
      <c r="AR44" s="0" t="n">
        <v>4</v>
      </c>
      <c r="AS44" s="0" t="n">
        <v>0</v>
      </c>
      <c r="AT44" s="0" t="n">
        <v>5</v>
      </c>
      <c r="AU44" s="0" t="n">
        <v>5</v>
      </c>
      <c r="AV44" s="0" t="n">
        <v>4.99</v>
      </c>
      <c r="AW44" s="0" t="n">
        <v>77</v>
      </c>
      <c r="AX44" s="0" t="n">
        <v>70</v>
      </c>
      <c r="AY44" s="0" t="n">
        <v>4.25</v>
      </c>
      <c r="AZ44" s="0" t="n">
        <v>10</v>
      </c>
      <c r="BA44" s="0" t="s">
        <v>145</v>
      </c>
      <c r="BB44" s="0" t="s">
        <v>146</v>
      </c>
      <c r="BC44" s="0" t="s">
        <v>147</v>
      </c>
      <c r="BD44" s="0" t="s">
        <v>164</v>
      </c>
      <c r="BE44" s="0" t="s">
        <v>176</v>
      </c>
      <c r="BF44" s="31" t="n">
        <v>46096.4205265857</v>
      </c>
      <c r="BG44" s="0" t="s">
        <v>143</v>
      </c>
    </row>
    <row r="45" customFormat="false" ht="15" hidden="false" customHeight="false" outlineLevel="0" collapsed="false">
      <c r="A45" s="0" t="s">
        <v>395</v>
      </c>
      <c r="B45" s="0" t="s">
        <v>396</v>
      </c>
      <c r="C45" s="0" t="s">
        <v>397</v>
      </c>
      <c r="D45" s="0" t="s">
        <v>398</v>
      </c>
      <c r="E45" s="0" t="s">
        <v>39</v>
      </c>
      <c r="F45" s="0" t="s">
        <v>33</v>
      </c>
      <c r="G45" s="0" t="s">
        <v>129</v>
      </c>
      <c r="H45" s="31" t="n">
        <v>44813</v>
      </c>
      <c r="I45" s="0" t="n">
        <v>12</v>
      </c>
      <c r="J45" s="0" t="s">
        <v>220</v>
      </c>
      <c r="K45" s="0" t="s">
        <v>199</v>
      </c>
      <c r="L45" s="0" t="s">
        <v>399</v>
      </c>
      <c r="M45" s="0" t="s">
        <v>158</v>
      </c>
      <c r="N45" s="0" t="n">
        <v>4</v>
      </c>
      <c r="O45" s="0" t="s">
        <v>134</v>
      </c>
      <c r="P45" s="0" t="n">
        <v>3</v>
      </c>
      <c r="Q45" s="0" t="n">
        <v>3</v>
      </c>
      <c r="R45" s="0" t="n">
        <v>5</v>
      </c>
      <c r="S45" s="0" t="n">
        <v>3</v>
      </c>
      <c r="T45" s="0" t="n">
        <v>1</v>
      </c>
      <c r="U45" s="0" t="n">
        <v>9</v>
      </c>
      <c r="V45" s="0" t="n">
        <v>36</v>
      </c>
      <c r="W45" s="0" t="n">
        <v>20</v>
      </c>
      <c r="X45" s="0" t="n">
        <v>0</v>
      </c>
      <c r="Y45" s="0" t="n">
        <v>11</v>
      </c>
      <c r="Z45" s="0" t="n">
        <v>45</v>
      </c>
      <c r="AA45" s="0" t="s">
        <v>135</v>
      </c>
      <c r="AB45" s="0" t="s">
        <v>136</v>
      </c>
      <c r="AC45" s="0" t="s">
        <v>137</v>
      </c>
      <c r="AD45" s="0" t="n">
        <v>8</v>
      </c>
      <c r="AE45" s="0" t="s">
        <v>183</v>
      </c>
      <c r="AF45" s="0" t="s">
        <v>209</v>
      </c>
      <c r="AG45" s="0" t="s">
        <v>173</v>
      </c>
      <c r="AH45" s="0" t="n">
        <v>2</v>
      </c>
      <c r="AI45" s="0" t="n">
        <v>12</v>
      </c>
      <c r="AJ45" s="0" t="s">
        <v>250</v>
      </c>
      <c r="AK45" s="0" t="s">
        <v>142</v>
      </c>
      <c r="AL45" s="0" t="n">
        <v>7</v>
      </c>
      <c r="AM45" s="0" t="s">
        <v>143</v>
      </c>
      <c r="AN45" s="0" t="s">
        <v>137</v>
      </c>
      <c r="AO45" s="0" t="n">
        <v>1</v>
      </c>
      <c r="AP45" s="0" t="n">
        <v>0</v>
      </c>
      <c r="AQ45" s="0" t="s">
        <v>144</v>
      </c>
      <c r="AR45" s="0" t="n">
        <v>5</v>
      </c>
      <c r="AS45" s="0" t="n">
        <v>1</v>
      </c>
      <c r="AT45" s="0" t="n">
        <v>2</v>
      </c>
      <c r="AU45" s="0" t="n">
        <v>0</v>
      </c>
      <c r="AV45" s="0" t="n">
        <v>3.17</v>
      </c>
      <c r="AW45" s="0" t="n">
        <v>99</v>
      </c>
      <c r="AX45" s="0" t="n">
        <v>70</v>
      </c>
      <c r="AY45" s="0" t="n">
        <v>3.33</v>
      </c>
      <c r="AZ45" s="0" t="n">
        <v>15</v>
      </c>
      <c r="BA45" s="0" t="s">
        <v>145</v>
      </c>
      <c r="BB45" s="0" t="s">
        <v>146</v>
      </c>
      <c r="BC45" s="0" t="s">
        <v>40</v>
      </c>
      <c r="BD45" s="0" t="s">
        <v>164</v>
      </c>
      <c r="BE45" s="0" t="s">
        <v>149</v>
      </c>
      <c r="BF45" s="31" t="n">
        <v>46096.4205265857</v>
      </c>
      <c r="BG45" s="0" t="s">
        <v>137</v>
      </c>
    </row>
    <row r="46" customFormat="false" ht="15" hidden="false" customHeight="false" outlineLevel="0" collapsed="false">
      <c r="A46" s="0" t="s">
        <v>400</v>
      </c>
      <c r="B46" s="0" t="s">
        <v>401</v>
      </c>
      <c r="C46" s="0" t="s">
        <v>402</v>
      </c>
      <c r="D46" s="0" t="s">
        <v>403</v>
      </c>
      <c r="E46" s="0" t="s">
        <v>39</v>
      </c>
      <c r="F46" s="0" t="s">
        <v>23</v>
      </c>
      <c r="G46" s="0" t="s">
        <v>198</v>
      </c>
      <c r="H46" s="31" t="n">
        <v>43384</v>
      </c>
      <c r="I46" s="0" t="n">
        <v>15</v>
      </c>
      <c r="J46" s="0" t="s">
        <v>220</v>
      </c>
      <c r="K46" s="0" t="s">
        <v>199</v>
      </c>
      <c r="L46" s="0" t="s">
        <v>404</v>
      </c>
      <c r="M46" s="0" t="s">
        <v>133</v>
      </c>
      <c r="N46" s="0" t="n">
        <v>2</v>
      </c>
      <c r="O46" s="0" t="s">
        <v>134</v>
      </c>
      <c r="P46" s="0" t="n">
        <v>4</v>
      </c>
      <c r="Q46" s="0" t="n">
        <v>4</v>
      </c>
      <c r="R46" s="0" t="n">
        <v>2</v>
      </c>
      <c r="S46" s="0" t="n">
        <v>3</v>
      </c>
      <c r="T46" s="0" t="n">
        <v>2</v>
      </c>
      <c r="U46" s="0" t="n">
        <v>7</v>
      </c>
      <c r="V46" s="0" t="n">
        <v>28</v>
      </c>
      <c r="W46" s="0" t="n">
        <v>20</v>
      </c>
      <c r="X46" s="0" t="n">
        <v>0</v>
      </c>
      <c r="Y46" s="0" t="n">
        <v>13</v>
      </c>
      <c r="Z46" s="0" t="n">
        <v>35</v>
      </c>
      <c r="AA46" s="0" t="s">
        <v>135</v>
      </c>
      <c r="AB46" s="0" t="s">
        <v>172</v>
      </c>
      <c r="AC46" s="0" t="s">
        <v>137</v>
      </c>
      <c r="AD46" s="0" t="n">
        <v>3</v>
      </c>
      <c r="AE46" s="0" t="s">
        <v>215</v>
      </c>
      <c r="AF46" s="0" t="s">
        <v>173</v>
      </c>
      <c r="AG46" s="0" t="s">
        <v>160</v>
      </c>
      <c r="AH46" s="0" t="n">
        <v>1</v>
      </c>
      <c r="AI46" s="0" t="n">
        <v>16</v>
      </c>
      <c r="AJ46" s="0" t="s">
        <v>193</v>
      </c>
      <c r="AK46" s="0" t="s">
        <v>142</v>
      </c>
      <c r="AL46" s="0" t="n">
        <v>6</v>
      </c>
      <c r="AM46" s="0" t="s">
        <v>137</v>
      </c>
      <c r="AN46" s="0" t="s">
        <v>143</v>
      </c>
      <c r="AO46" s="0" t="n">
        <v>1</v>
      </c>
      <c r="AP46" s="0" t="n">
        <v>3</v>
      </c>
      <c r="AQ46" s="0" t="s">
        <v>175</v>
      </c>
      <c r="AR46" s="0" t="n">
        <v>1</v>
      </c>
      <c r="AS46" s="0" t="n">
        <v>3</v>
      </c>
      <c r="AT46" s="0" t="n">
        <v>2</v>
      </c>
      <c r="AU46" s="0" t="n">
        <v>4</v>
      </c>
      <c r="AV46" s="0" t="n">
        <v>3.13</v>
      </c>
      <c r="AW46" s="0" t="n">
        <v>63</v>
      </c>
      <c r="AX46" s="0" t="n">
        <v>96</v>
      </c>
      <c r="AY46" s="0" t="n">
        <v>3.96</v>
      </c>
      <c r="AZ46" s="0" t="n">
        <v>4</v>
      </c>
      <c r="BA46" s="0" t="s">
        <v>145</v>
      </c>
      <c r="BB46" s="0" t="s">
        <v>146</v>
      </c>
      <c r="BC46" s="0" t="s">
        <v>147</v>
      </c>
      <c r="BD46" s="0" t="s">
        <v>148</v>
      </c>
      <c r="BE46" s="0" t="s">
        <v>176</v>
      </c>
      <c r="BF46" s="31" t="n">
        <v>46096.4205265857</v>
      </c>
      <c r="BG46" s="0" t="s">
        <v>143</v>
      </c>
    </row>
    <row r="47" customFormat="false" ht="15" hidden="false" customHeight="false" outlineLevel="0" collapsed="false">
      <c r="A47" s="0" t="s">
        <v>405</v>
      </c>
      <c r="B47" s="0" t="s">
        <v>406</v>
      </c>
      <c r="C47" s="0" t="s">
        <v>407</v>
      </c>
      <c r="D47" s="0" t="s">
        <v>408</v>
      </c>
      <c r="E47" s="0" t="s">
        <v>27</v>
      </c>
      <c r="F47" s="0" t="s">
        <v>33</v>
      </c>
      <c r="G47" s="0" t="s">
        <v>198</v>
      </c>
      <c r="H47" s="31" t="n">
        <v>43455</v>
      </c>
      <c r="I47" s="0" t="n">
        <v>12</v>
      </c>
      <c r="J47" s="0" t="s">
        <v>169</v>
      </c>
      <c r="K47" s="0" t="s">
        <v>191</v>
      </c>
      <c r="L47" s="0" t="s">
        <v>409</v>
      </c>
      <c r="M47" s="0" t="s">
        <v>158</v>
      </c>
      <c r="N47" s="0" t="n">
        <v>4</v>
      </c>
      <c r="O47" s="0" t="s">
        <v>171</v>
      </c>
      <c r="P47" s="0" t="n">
        <v>3</v>
      </c>
      <c r="Q47" s="0" t="n">
        <v>5</v>
      </c>
      <c r="R47" s="0" t="n">
        <v>2</v>
      </c>
      <c r="S47" s="0" t="n">
        <v>3</v>
      </c>
      <c r="T47" s="0" t="n">
        <v>1</v>
      </c>
      <c r="U47" s="0" t="n">
        <v>6</v>
      </c>
      <c r="V47" s="0" t="n">
        <v>24</v>
      </c>
      <c r="W47" s="0" t="n">
        <v>20</v>
      </c>
      <c r="X47" s="0" t="n">
        <v>0</v>
      </c>
      <c r="Y47" s="0" t="n">
        <v>14</v>
      </c>
      <c r="Z47" s="0" t="n">
        <v>30</v>
      </c>
      <c r="AA47" s="0" t="s">
        <v>135</v>
      </c>
      <c r="AB47" s="0" t="s">
        <v>172</v>
      </c>
      <c r="AC47" s="0" t="s">
        <v>137</v>
      </c>
      <c r="AD47" s="0" t="n">
        <v>6</v>
      </c>
      <c r="AE47" s="0" t="s">
        <v>138</v>
      </c>
      <c r="AF47" s="0" t="s">
        <v>184</v>
      </c>
      <c r="AG47" s="0" t="s">
        <v>266</v>
      </c>
      <c r="AH47" s="0" t="n">
        <v>2</v>
      </c>
      <c r="AI47" s="0" t="n">
        <v>18</v>
      </c>
      <c r="AJ47" s="0" t="s">
        <v>185</v>
      </c>
      <c r="AK47" s="0" t="s">
        <v>162</v>
      </c>
      <c r="AL47" s="0" t="n">
        <v>4</v>
      </c>
      <c r="AM47" s="0" t="s">
        <v>143</v>
      </c>
      <c r="AN47" s="0" t="s">
        <v>137</v>
      </c>
      <c r="AO47" s="0" t="n">
        <v>8</v>
      </c>
      <c r="AP47" s="0" t="n">
        <v>6</v>
      </c>
      <c r="AQ47" s="0" t="s">
        <v>203</v>
      </c>
      <c r="AR47" s="0" t="n">
        <v>2</v>
      </c>
      <c r="AS47" s="0" t="n">
        <v>4</v>
      </c>
      <c r="AT47" s="0" t="n">
        <v>5</v>
      </c>
      <c r="AU47" s="0" t="n">
        <v>6</v>
      </c>
      <c r="AV47" s="0" t="n">
        <v>3.63</v>
      </c>
      <c r="AW47" s="0" t="n">
        <v>73</v>
      </c>
      <c r="AX47" s="0" t="n">
        <v>95</v>
      </c>
      <c r="AY47" s="0" t="n">
        <v>4.19</v>
      </c>
      <c r="AZ47" s="0" t="n">
        <v>4</v>
      </c>
      <c r="BA47" s="0" t="s">
        <v>163</v>
      </c>
      <c r="BB47" s="0" t="s">
        <v>146</v>
      </c>
      <c r="BC47" s="0" t="s">
        <v>40</v>
      </c>
      <c r="BD47" s="0" t="s">
        <v>148</v>
      </c>
      <c r="BE47" s="0" t="s">
        <v>149</v>
      </c>
      <c r="BF47" s="31" t="n">
        <v>46096.4205265857</v>
      </c>
      <c r="BG47" s="0" t="s">
        <v>137</v>
      </c>
    </row>
    <row r="48" customFormat="false" ht="15" hidden="false" customHeight="false" outlineLevel="0" collapsed="false">
      <c r="A48" s="0" t="s">
        <v>410</v>
      </c>
      <c r="B48" s="0" t="s">
        <v>411</v>
      </c>
      <c r="C48" s="0" t="s">
        <v>412</v>
      </c>
      <c r="D48" s="0" t="s">
        <v>413</v>
      </c>
      <c r="E48" s="0" t="s">
        <v>37</v>
      </c>
      <c r="F48" s="0" t="s">
        <v>33</v>
      </c>
      <c r="G48" s="0" t="s">
        <v>198</v>
      </c>
      <c r="H48" s="31" t="n">
        <v>43531</v>
      </c>
      <c r="I48" s="0" t="n">
        <v>15</v>
      </c>
      <c r="J48" s="0" t="s">
        <v>130</v>
      </c>
      <c r="K48" s="0" t="s">
        <v>199</v>
      </c>
      <c r="L48" s="0" t="s">
        <v>414</v>
      </c>
      <c r="M48" s="0" t="s">
        <v>158</v>
      </c>
      <c r="N48" s="0" t="n">
        <v>2</v>
      </c>
      <c r="O48" s="0" t="s">
        <v>182</v>
      </c>
      <c r="P48" s="0" t="n">
        <v>1</v>
      </c>
      <c r="Q48" s="0" t="n">
        <v>2</v>
      </c>
      <c r="R48" s="0" t="n">
        <v>6</v>
      </c>
      <c r="S48" s="0" t="n">
        <v>1</v>
      </c>
      <c r="T48" s="0" t="n">
        <v>1</v>
      </c>
      <c r="U48" s="0" t="n">
        <v>8</v>
      </c>
      <c r="V48" s="0" t="n">
        <v>32</v>
      </c>
      <c r="W48" s="0" t="n">
        <v>20</v>
      </c>
      <c r="X48" s="0" t="n">
        <v>0</v>
      </c>
      <c r="Y48" s="0" t="n">
        <v>12</v>
      </c>
      <c r="Z48" s="0" t="n">
        <v>40</v>
      </c>
      <c r="AA48" s="0" t="s">
        <v>135</v>
      </c>
      <c r="AB48" s="0" t="s">
        <v>136</v>
      </c>
      <c r="AC48" s="0" t="s">
        <v>143</v>
      </c>
      <c r="AD48" s="0" t="n">
        <v>8</v>
      </c>
      <c r="AE48" s="0" t="s">
        <v>249</v>
      </c>
      <c r="AF48" s="0" t="s">
        <v>173</v>
      </c>
      <c r="AG48" s="0" t="s">
        <v>161</v>
      </c>
      <c r="AH48" s="0" t="n">
        <v>2</v>
      </c>
      <c r="AI48" s="0" t="n">
        <v>15</v>
      </c>
      <c r="AJ48" s="0" t="s">
        <v>174</v>
      </c>
      <c r="AK48" s="0" t="s">
        <v>162</v>
      </c>
      <c r="AL48" s="0" t="n">
        <v>7</v>
      </c>
      <c r="AM48" s="0" t="s">
        <v>143</v>
      </c>
      <c r="AN48" s="0" t="s">
        <v>137</v>
      </c>
      <c r="AO48" s="0" t="n">
        <v>1</v>
      </c>
      <c r="AP48" s="0" t="n">
        <v>1</v>
      </c>
      <c r="AQ48" s="0" t="s">
        <v>203</v>
      </c>
      <c r="AR48" s="0" t="n">
        <v>2</v>
      </c>
      <c r="AS48" s="0" t="n">
        <v>1</v>
      </c>
      <c r="AT48" s="0" t="n">
        <v>5</v>
      </c>
      <c r="AU48" s="0" t="n">
        <v>6</v>
      </c>
      <c r="AV48" s="0" t="n">
        <v>4.3</v>
      </c>
      <c r="AW48" s="0" t="n">
        <v>80</v>
      </c>
      <c r="AX48" s="0" t="n">
        <v>91</v>
      </c>
      <c r="AY48" s="0" t="n">
        <v>4.42</v>
      </c>
      <c r="AZ48" s="0" t="n">
        <v>9</v>
      </c>
      <c r="BA48" s="0" t="s">
        <v>163</v>
      </c>
      <c r="BB48" s="0" t="s">
        <v>146</v>
      </c>
      <c r="BC48" s="0" t="s">
        <v>186</v>
      </c>
      <c r="BD48" s="0" t="s">
        <v>164</v>
      </c>
      <c r="BE48" s="0" t="s">
        <v>176</v>
      </c>
      <c r="BF48" s="31" t="n">
        <v>46096.4205265857</v>
      </c>
      <c r="BG48" s="0" t="s">
        <v>143</v>
      </c>
    </row>
    <row r="49" customFormat="false" ht="15" hidden="false" customHeight="false" outlineLevel="0" collapsed="false">
      <c r="A49" s="0" t="s">
        <v>415</v>
      </c>
      <c r="B49" s="0" t="s">
        <v>416</v>
      </c>
      <c r="C49" s="0" t="s">
        <v>417</v>
      </c>
      <c r="D49" s="0" t="s">
        <v>418</v>
      </c>
      <c r="E49" s="0" t="s">
        <v>39</v>
      </c>
      <c r="F49" s="0" t="s">
        <v>28</v>
      </c>
      <c r="G49" s="0" t="s">
        <v>129</v>
      </c>
      <c r="H49" s="31" t="n">
        <v>43157</v>
      </c>
      <c r="I49" s="0" t="n">
        <v>6</v>
      </c>
      <c r="J49" s="0" t="s">
        <v>220</v>
      </c>
      <c r="K49" s="0" t="s">
        <v>156</v>
      </c>
      <c r="L49" s="0" t="s">
        <v>419</v>
      </c>
      <c r="M49" s="0" t="s">
        <v>158</v>
      </c>
      <c r="N49" s="0" t="n">
        <v>3</v>
      </c>
      <c r="O49" s="0" t="s">
        <v>171</v>
      </c>
      <c r="P49" s="0" t="n">
        <v>2</v>
      </c>
      <c r="Q49" s="0" t="n">
        <v>5</v>
      </c>
      <c r="R49" s="0" t="n">
        <v>2</v>
      </c>
      <c r="S49" s="0" t="n">
        <v>3</v>
      </c>
      <c r="T49" s="0" t="n">
        <v>2</v>
      </c>
      <c r="U49" s="0" t="n">
        <v>7</v>
      </c>
      <c r="V49" s="0" t="n">
        <v>28</v>
      </c>
      <c r="W49" s="0" t="n">
        <v>20</v>
      </c>
      <c r="X49" s="0" t="n">
        <v>0</v>
      </c>
      <c r="Y49" s="0" t="n">
        <v>13</v>
      </c>
      <c r="Z49" s="0" t="n">
        <v>35</v>
      </c>
      <c r="AA49" s="0" t="s">
        <v>135</v>
      </c>
      <c r="AB49" s="0" t="s">
        <v>136</v>
      </c>
      <c r="AC49" s="0" t="s">
        <v>137</v>
      </c>
      <c r="AD49" s="0" t="n">
        <v>5</v>
      </c>
      <c r="AE49" s="0" t="s">
        <v>183</v>
      </c>
      <c r="AF49" s="0" t="s">
        <v>209</v>
      </c>
      <c r="AG49" s="0" t="s">
        <v>173</v>
      </c>
      <c r="AH49" s="0" t="n">
        <v>2</v>
      </c>
      <c r="AI49" s="0" t="n">
        <v>7</v>
      </c>
      <c r="AJ49" s="0" t="s">
        <v>250</v>
      </c>
      <c r="AK49" s="0" t="s">
        <v>142</v>
      </c>
      <c r="AL49" s="0" t="n">
        <v>6</v>
      </c>
      <c r="AM49" s="0" t="s">
        <v>137</v>
      </c>
      <c r="AN49" s="0" t="s">
        <v>137</v>
      </c>
      <c r="AO49" s="0" t="n">
        <v>2</v>
      </c>
      <c r="AP49" s="0" t="n">
        <v>3</v>
      </c>
      <c r="AQ49" s="0" t="s">
        <v>237</v>
      </c>
      <c r="AR49" s="0" t="n">
        <v>2</v>
      </c>
      <c r="AS49" s="0" t="n">
        <v>5</v>
      </c>
      <c r="AT49" s="0" t="n">
        <v>2</v>
      </c>
      <c r="AU49" s="0" t="n">
        <v>0</v>
      </c>
      <c r="AV49" s="0" t="n">
        <v>3.23</v>
      </c>
      <c r="AW49" s="0" t="n">
        <v>66</v>
      </c>
      <c r="AX49" s="0" t="n">
        <v>73</v>
      </c>
      <c r="AY49" s="0" t="n">
        <v>3.44</v>
      </c>
      <c r="AZ49" s="0" t="n">
        <v>2</v>
      </c>
      <c r="BA49" s="0" t="s">
        <v>145</v>
      </c>
      <c r="BB49" s="0" t="s">
        <v>146</v>
      </c>
      <c r="BC49" s="0" t="s">
        <v>147</v>
      </c>
      <c r="BD49" s="0" t="s">
        <v>148</v>
      </c>
      <c r="BE49" s="0" t="s">
        <v>149</v>
      </c>
      <c r="BF49" s="31" t="n">
        <v>46096.4205265857</v>
      </c>
      <c r="BG49" s="0" t="s">
        <v>137</v>
      </c>
    </row>
    <row r="50" customFormat="false" ht="15" hidden="false" customHeight="false" outlineLevel="0" collapsed="false">
      <c r="A50" s="0" t="s">
        <v>420</v>
      </c>
      <c r="B50" s="0" t="s">
        <v>421</v>
      </c>
      <c r="C50" s="0" t="s">
        <v>422</v>
      </c>
      <c r="D50" s="0" t="s">
        <v>423</v>
      </c>
      <c r="E50" s="0" t="s">
        <v>27</v>
      </c>
      <c r="F50" s="0" t="s">
        <v>23</v>
      </c>
      <c r="G50" s="0" t="s">
        <v>154</v>
      </c>
      <c r="H50" s="31" t="n">
        <v>44190</v>
      </c>
      <c r="I50" s="0" t="n">
        <v>5</v>
      </c>
      <c r="J50" s="0" t="s">
        <v>169</v>
      </c>
      <c r="K50" s="0" t="s">
        <v>199</v>
      </c>
      <c r="L50" s="0" t="s">
        <v>424</v>
      </c>
      <c r="M50" s="0" t="s">
        <v>158</v>
      </c>
      <c r="N50" s="0" t="n">
        <v>2</v>
      </c>
      <c r="O50" s="0" t="s">
        <v>134</v>
      </c>
      <c r="P50" s="0" t="n">
        <v>4</v>
      </c>
      <c r="Q50" s="0" t="n">
        <v>5</v>
      </c>
      <c r="R50" s="0" t="n">
        <v>5</v>
      </c>
      <c r="S50" s="0" t="n">
        <v>3</v>
      </c>
      <c r="T50" s="0" t="n">
        <v>2</v>
      </c>
      <c r="U50" s="0" t="n">
        <v>10</v>
      </c>
      <c r="V50" s="0" t="n">
        <v>40</v>
      </c>
      <c r="W50" s="0" t="n">
        <v>20</v>
      </c>
      <c r="X50" s="0" t="n">
        <v>0</v>
      </c>
      <c r="Y50" s="0" t="n">
        <v>10</v>
      </c>
      <c r="Z50" s="0" t="n">
        <v>50</v>
      </c>
      <c r="AA50" s="0" t="s">
        <v>135</v>
      </c>
      <c r="AB50" s="0" t="s">
        <v>172</v>
      </c>
      <c r="AC50" s="0" t="s">
        <v>137</v>
      </c>
      <c r="AD50" s="0" t="n">
        <v>9</v>
      </c>
      <c r="AE50" s="0" t="s">
        <v>249</v>
      </c>
      <c r="AF50" s="0" t="s">
        <v>140</v>
      </c>
      <c r="AG50" s="0" t="s">
        <v>160</v>
      </c>
      <c r="AH50" s="0" t="n">
        <v>2</v>
      </c>
      <c r="AI50" s="0" t="n">
        <v>19</v>
      </c>
      <c r="AJ50" s="0" t="s">
        <v>141</v>
      </c>
      <c r="AK50" s="0" t="s">
        <v>142</v>
      </c>
      <c r="AL50" s="0" t="n">
        <v>2</v>
      </c>
      <c r="AM50" s="0" t="s">
        <v>143</v>
      </c>
      <c r="AN50" s="0" t="s">
        <v>137</v>
      </c>
      <c r="AO50" s="0" t="n">
        <v>4</v>
      </c>
      <c r="AP50" s="0" t="n">
        <v>7</v>
      </c>
      <c r="AQ50" s="0" t="s">
        <v>203</v>
      </c>
      <c r="AR50" s="0" t="n">
        <v>3</v>
      </c>
      <c r="AS50" s="0" t="n">
        <v>3</v>
      </c>
      <c r="AT50" s="0" t="n">
        <v>5</v>
      </c>
      <c r="AU50" s="0" t="n">
        <v>1</v>
      </c>
      <c r="AV50" s="0" t="n">
        <v>3.28</v>
      </c>
      <c r="AW50" s="0" t="n">
        <v>68</v>
      </c>
      <c r="AX50" s="0" t="n">
        <v>72</v>
      </c>
      <c r="AY50" s="0" t="n">
        <v>3.44</v>
      </c>
      <c r="AZ50" s="0" t="n">
        <v>1</v>
      </c>
      <c r="BA50" s="0" t="s">
        <v>145</v>
      </c>
      <c r="BB50" s="0" t="s">
        <v>146</v>
      </c>
      <c r="BC50" s="0" t="s">
        <v>186</v>
      </c>
      <c r="BD50" s="0" t="s">
        <v>148</v>
      </c>
      <c r="BE50" s="0" t="s">
        <v>149</v>
      </c>
      <c r="BF50" s="31" t="n">
        <v>46096.4205265857</v>
      </c>
      <c r="BG50" s="0" t="s">
        <v>137</v>
      </c>
    </row>
    <row r="51" customFormat="false" ht="15" hidden="false" customHeight="false" outlineLevel="0" collapsed="false">
      <c r="A51" s="0" t="s">
        <v>425</v>
      </c>
      <c r="B51" s="0" t="s">
        <v>426</v>
      </c>
      <c r="C51" s="0" t="s">
        <v>427</v>
      </c>
      <c r="D51" s="0" t="s">
        <v>428</v>
      </c>
      <c r="E51" s="0" t="s">
        <v>32</v>
      </c>
      <c r="F51" s="0" t="s">
        <v>33</v>
      </c>
      <c r="G51" s="0" t="s">
        <v>198</v>
      </c>
      <c r="H51" s="31" t="n">
        <v>43122</v>
      </c>
      <c r="I51" s="0" t="n">
        <v>20</v>
      </c>
      <c r="J51" s="0" t="s">
        <v>155</v>
      </c>
      <c r="K51" s="0" t="s">
        <v>156</v>
      </c>
      <c r="L51" s="0" t="s">
        <v>429</v>
      </c>
      <c r="M51" s="0" t="s">
        <v>158</v>
      </c>
      <c r="N51" s="0" t="n">
        <v>4</v>
      </c>
      <c r="O51" s="0" t="s">
        <v>134</v>
      </c>
      <c r="P51" s="0" t="n">
        <v>1</v>
      </c>
      <c r="Q51" s="0" t="n">
        <v>3</v>
      </c>
      <c r="R51" s="0" t="n">
        <v>3</v>
      </c>
      <c r="S51" s="0" t="n">
        <v>1</v>
      </c>
      <c r="T51" s="0" t="n">
        <v>0</v>
      </c>
      <c r="U51" s="0" t="n">
        <v>4</v>
      </c>
      <c r="V51" s="0" t="n">
        <v>16</v>
      </c>
      <c r="W51" s="0" t="n">
        <v>20</v>
      </c>
      <c r="X51" s="0" t="n">
        <v>0</v>
      </c>
      <c r="Y51" s="0" t="n">
        <v>16</v>
      </c>
      <c r="Z51" s="0" t="n">
        <v>20</v>
      </c>
      <c r="AA51" s="0" t="s">
        <v>135</v>
      </c>
      <c r="AB51" s="0" t="s">
        <v>136</v>
      </c>
      <c r="AC51" s="0" t="s">
        <v>137</v>
      </c>
      <c r="AD51" s="0" t="n">
        <v>3</v>
      </c>
      <c r="AE51" s="0" t="s">
        <v>159</v>
      </c>
      <c r="AF51" s="0" t="s">
        <v>140</v>
      </c>
      <c r="AG51" s="0" t="s">
        <v>160</v>
      </c>
      <c r="AH51" s="0" t="n">
        <v>2</v>
      </c>
      <c r="AI51" s="0" t="n">
        <v>14</v>
      </c>
      <c r="AJ51" s="0" t="s">
        <v>185</v>
      </c>
      <c r="AK51" s="0" t="s">
        <v>162</v>
      </c>
      <c r="AL51" s="0" t="n">
        <v>4</v>
      </c>
      <c r="AM51" s="0" t="s">
        <v>137</v>
      </c>
      <c r="AN51" s="0" t="s">
        <v>137</v>
      </c>
      <c r="AO51" s="0" t="n">
        <v>10</v>
      </c>
      <c r="AP51" s="0" t="n">
        <v>3</v>
      </c>
      <c r="AQ51" s="0" t="s">
        <v>237</v>
      </c>
      <c r="AR51" s="0" t="n">
        <v>0</v>
      </c>
      <c r="AS51" s="0" t="n">
        <v>1</v>
      </c>
      <c r="AT51" s="0" t="n">
        <v>3</v>
      </c>
      <c r="AU51" s="0" t="n">
        <v>4</v>
      </c>
      <c r="AV51" s="0" t="n">
        <v>3.98</v>
      </c>
      <c r="AW51" s="0" t="n">
        <v>77</v>
      </c>
      <c r="AX51" s="0" t="n">
        <v>85</v>
      </c>
      <c r="AY51" s="0" t="n">
        <v>4.12</v>
      </c>
      <c r="AZ51" s="0" t="n">
        <v>0</v>
      </c>
      <c r="BA51" s="0" t="s">
        <v>163</v>
      </c>
      <c r="BB51" s="0" t="s">
        <v>146</v>
      </c>
      <c r="BC51" s="0" t="s">
        <v>40</v>
      </c>
      <c r="BD51" s="0" t="s">
        <v>148</v>
      </c>
      <c r="BE51" s="0" t="s">
        <v>176</v>
      </c>
      <c r="BF51" s="31" t="n">
        <v>46096.4205265857</v>
      </c>
      <c r="BG51" s="0" t="s">
        <v>143</v>
      </c>
    </row>
    <row r="52" customFormat="false" ht="15" hidden="false" customHeight="false" outlineLevel="0" collapsed="false">
      <c r="A52" s="0" t="s">
        <v>430</v>
      </c>
      <c r="B52" s="0" t="s">
        <v>431</v>
      </c>
      <c r="C52" s="0" t="s">
        <v>432</v>
      </c>
      <c r="D52" s="0" t="s">
        <v>433</v>
      </c>
      <c r="E52" s="0" t="s">
        <v>37</v>
      </c>
      <c r="F52" s="0" t="s">
        <v>23</v>
      </c>
      <c r="G52" s="0" t="s">
        <v>198</v>
      </c>
      <c r="H52" s="31" t="n">
        <v>43841</v>
      </c>
      <c r="I52" s="0" t="n">
        <v>14</v>
      </c>
      <c r="J52" s="0" t="s">
        <v>220</v>
      </c>
      <c r="K52" s="0" t="s">
        <v>131</v>
      </c>
      <c r="L52" s="0" t="s">
        <v>434</v>
      </c>
      <c r="M52" s="0" t="s">
        <v>201</v>
      </c>
      <c r="N52" s="0" t="n">
        <v>3</v>
      </c>
      <c r="O52" s="0" t="s">
        <v>182</v>
      </c>
      <c r="P52" s="0" t="n">
        <v>4</v>
      </c>
      <c r="Q52" s="0" t="n">
        <v>4</v>
      </c>
      <c r="R52" s="0" t="n">
        <v>6</v>
      </c>
      <c r="S52" s="0" t="n">
        <v>2</v>
      </c>
      <c r="T52" s="0" t="n">
        <v>1</v>
      </c>
      <c r="U52" s="0" t="n">
        <v>9</v>
      </c>
      <c r="V52" s="0" t="n">
        <v>36</v>
      </c>
      <c r="W52" s="0" t="n">
        <v>20</v>
      </c>
      <c r="X52" s="0" t="n">
        <v>0</v>
      </c>
      <c r="Y52" s="0" t="n">
        <v>11</v>
      </c>
      <c r="Z52" s="0" t="n">
        <v>45</v>
      </c>
      <c r="AA52" s="0" t="s">
        <v>135</v>
      </c>
      <c r="AB52" s="0" t="s">
        <v>136</v>
      </c>
      <c r="AC52" s="0" t="s">
        <v>143</v>
      </c>
      <c r="AD52" s="0" t="n">
        <v>4</v>
      </c>
      <c r="AE52" s="0" t="s">
        <v>138</v>
      </c>
      <c r="AF52" s="0" t="s">
        <v>160</v>
      </c>
      <c r="AG52" s="0" t="s">
        <v>161</v>
      </c>
      <c r="AH52" s="0" t="n">
        <v>1</v>
      </c>
      <c r="AI52" s="0" t="n">
        <v>5</v>
      </c>
      <c r="AJ52" s="0" t="s">
        <v>141</v>
      </c>
      <c r="AK52" s="0" t="s">
        <v>162</v>
      </c>
      <c r="AL52" s="0" t="n">
        <v>2</v>
      </c>
      <c r="AM52" s="0" t="s">
        <v>143</v>
      </c>
      <c r="AN52" s="0" t="s">
        <v>137</v>
      </c>
      <c r="AO52" s="0" t="n">
        <v>3</v>
      </c>
      <c r="AP52" s="0" t="n">
        <v>2</v>
      </c>
      <c r="AQ52" s="0" t="s">
        <v>237</v>
      </c>
      <c r="AR52" s="0" t="n">
        <v>2</v>
      </c>
      <c r="AS52" s="0" t="n">
        <v>3</v>
      </c>
      <c r="AT52" s="0" t="n">
        <v>0</v>
      </c>
      <c r="AU52" s="0" t="n">
        <v>0</v>
      </c>
      <c r="AV52" s="0" t="n">
        <v>3.31</v>
      </c>
      <c r="AW52" s="0" t="n">
        <v>68</v>
      </c>
      <c r="AX52" s="0" t="n">
        <v>86</v>
      </c>
      <c r="AY52" s="0" t="n">
        <v>3.8</v>
      </c>
      <c r="AZ52" s="0" t="n">
        <v>19</v>
      </c>
      <c r="BA52" s="0" t="s">
        <v>163</v>
      </c>
      <c r="BB52" s="0" t="s">
        <v>146</v>
      </c>
      <c r="BC52" s="0" t="s">
        <v>186</v>
      </c>
      <c r="BD52" s="0" t="s">
        <v>148</v>
      </c>
      <c r="BE52" s="0" t="s">
        <v>149</v>
      </c>
      <c r="BF52" s="31" t="n">
        <v>46096.4205265857</v>
      </c>
      <c r="BG52" s="0" t="s">
        <v>143</v>
      </c>
    </row>
    <row r="53" customFormat="false" ht="15" hidden="false" customHeight="false" outlineLevel="0" collapsed="false">
      <c r="A53" s="0" t="s">
        <v>435</v>
      </c>
      <c r="B53" s="0" t="s">
        <v>436</v>
      </c>
      <c r="C53" s="0" t="s">
        <v>437</v>
      </c>
      <c r="D53" s="0" t="s">
        <v>438</v>
      </c>
      <c r="E53" s="0" t="s">
        <v>27</v>
      </c>
      <c r="F53" s="0" t="s">
        <v>28</v>
      </c>
      <c r="G53" s="0" t="s">
        <v>129</v>
      </c>
      <c r="H53" s="31" t="n">
        <v>42094</v>
      </c>
      <c r="I53" s="0" t="n">
        <v>4</v>
      </c>
      <c r="J53" s="0" t="s">
        <v>220</v>
      </c>
      <c r="K53" s="0" t="s">
        <v>131</v>
      </c>
      <c r="L53" s="0" t="s">
        <v>439</v>
      </c>
      <c r="M53" s="0" t="s">
        <v>158</v>
      </c>
      <c r="N53" s="0" t="n">
        <v>5</v>
      </c>
      <c r="O53" s="0" t="s">
        <v>134</v>
      </c>
      <c r="P53" s="0" t="n">
        <v>4</v>
      </c>
      <c r="Q53" s="0" t="n">
        <v>3</v>
      </c>
      <c r="R53" s="0" t="n">
        <v>2</v>
      </c>
      <c r="S53" s="0" t="n">
        <v>3</v>
      </c>
      <c r="T53" s="0" t="n">
        <v>2</v>
      </c>
      <c r="U53" s="0" t="n">
        <v>7</v>
      </c>
      <c r="V53" s="0" t="n">
        <v>28</v>
      </c>
      <c r="W53" s="0" t="n">
        <v>20</v>
      </c>
      <c r="X53" s="0" t="n">
        <v>0</v>
      </c>
      <c r="Y53" s="0" t="n">
        <v>13</v>
      </c>
      <c r="Z53" s="0" t="n">
        <v>35</v>
      </c>
      <c r="AA53" s="0" t="s">
        <v>135</v>
      </c>
      <c r="AB53" s="0" t="s">
        <v>136</v>
      </c>
      <c r="AC53" s="0" t="s">
        <v>143</v>
      </c>
      <c r="AD53" s="0" t="n">
        <v>10</v>
      </c>
      <c r="AE53" s="0" t="s">
        <v>249</v>
      </c>
      <c r="AF53" s="0" t="s">
        <v>139</v>
      </c>
      <c r="AG53" s="0" t="s">
        <v>140</v>
      </c>
      <c r="AH53" s="0" t="n">
        <v>2</v>
      </c>
      <c r="AI53" s="0" t="n">
        <v>12</v>
      </c>
      <c r="AJ53" s="0" t="s">
        <v>193</v>
      </c>
      <c r="AK53" s="0" t="s">
        <v>162</v>
      </c>
      <c r="AL53" s="0" t="n">
        <v>9</v>
      </c>
      <c r="AM53" s="0" t="s">
        <v>137</v>
      </c>
      <c r="AN53" s="0" t="s">
        <v>143</v>
      </c>
      <c r="AO53" s="0" t="n">
        <v>6</v>
      </c>
      <c r="AP53" s="0" t="n">
        <v>3</v>
      </c>
      <c r="AQ53" s="0" t="s">
        <v>237</v>
      </c>
      <c r="AR53" s="0" t="n">
        <v>0</v>
      </c>
      <c r="AS53" s="0" t="n">
        <v>5</v>
      </c>
      <c r="AT53" s="0" t="n">
        <v>5</v>
      </c>
      <c r="AU53" s="0" t="n">
        <v>6</v>
      </c>
      <c r="AV53" s="0" t="n">
        <v>3.75</v>
      </c>
      <c r="AW53" s="0" t="n">
        <v>95</v>
      </c>
      <c r="AX53" s="0" t="n">
        <v>72</v>
      </c>
      <c r="AY53" s="0" t="n">
        <v>3.67</v>
      </c>
      <c r="AZ53" s="0" t="n">
        <v>1</v>
      </c>
      <c r="BA53" s="0" t="s">
        <v>145</v>
      </c>
      <c r="BB53" s="0" t="s">
        <v>146</v>
      </c>
      <c r="BC53" s="0" t="s">
        <v>147</v>
      </c>
      <c r="BD53" s="0" t="s">
        <v>148</v>
      </c>
      <c r="BE53" s="0" t="s">
        <v>176</v>
      </c>
      <c r="BF53" s="31" t="n">
        <v>46096.4205265857</v>
      </c>
      <c r="BG53" s="0" t="s">
        <v>137</v>
      </c>
    </row>
    <row r="54" customFormat="false" ht="15" hidden="false" customHeight="false" outlineLevel="0" collapsed="false">
      <c r="A54" s="0" t="s">
        <v>440</v>
      </c>
      <c r="B54" s="0" t="s">
        <v>441</v>
      </c>
      <c r="C54" s="0" t="s">
        <v>442</v>
      </c>
      <c r="D54" s="0" t="s">
        <v>443</v>
      </c>
      <c r="E54" s="0" t="s">
        <v>37</v>
      </c>
      <c r="F54" s="0" t="s">
        <v>33</v>
      </c>
      <c r="G54" s="0" t="s">
        <v>198</v>
      </c>
      <c r="H54" s="31" t="n">
        <v>44131</v>
      </c>
      <c r="I54" s="0" t="n">
        <v>20</v>
      </c>
      <c r="J54" s="0" t="s">
        <v>155</v>
      </c>
      <c r="K54" s="0" t="s">
        <v>131</v>
      </c>
      <c r="L54" s="0" t="s">
        <v>444</v>
      </c>
      <c r="M54" s="0" t="s">
        <v>158</v>
      </c>
      <c r="N54" s="0" t="n">
        <v>5</v>
      </c>
      <c r="O54" s="0" t="s">
        <v>182</v>
      </c>
      <c r="P54" s="0" t="n">
        <v>3</v>
      </c>
      <c r="Q54" s="0" t="n">
        <v>4</v>
      </c>
      <c r="R54" s="0" t="n">
        <v>6</v>
      </c>
      <c r="S54" s="0" t="n">
        <v>3</v>
      </c>
      <c r="T54" s="0" t="n">
        <v>0</v>
      </c>
      <c r="U54" s="0" t="n">
        <v>9</v>
      </c>
      <c r="V54" s="0" t="n">
        <v>36</v>
      </c>
      <c r="W54" s="0" t="n">
        <v>20</v>
      </c>
      <c r="X54" s="0" t="n">
        <v>0</v>
      </c>
      <c r="Y54" s="0" t="n">
        <v>11</v>
      </c>
      <c r="Z54" s="0" t="n">
        <v>45</v>
      </c>
      <c r="AA54" s="0" t="s">
        <v>135</v>
      </c>
      <c r="AB54" s="0" t="s">
        <v>172</v>
      </c>
      <c r="AC54" s="0" t="s">
        <v>137</v>
      </c>
      <c r="AD54" s="0" t="n">
        <v>3</v>
      </c>
      <c r="AE54" s="0" t="s">
        <v>159</v>
      </c>
      <c r="AF54" s="0" t="s">
        <v>184</v>
      </c>
      <c r="AG54" s="0" t="s">
        <v>266</v>
      </c>
      <c r="AH54" s="0" t="n">
        <v>2</v>
      </c>
      <c r="AI54" s="0" t="n">
        <v>13</v>
      </c>
      <c r="AJ54" s="0" t="s">
        <v>185</v>
      </c>
      <c r="AK54" s="0" t="s">
        <v>162</v>
      </c>
      <c r="AL54" s="0" t="n">
        <v>4</v>
      </c>
      <c r="AM54" s="0" t="s">
        <v>137</v>
      </c>
      <c r="AN54" s="0" t="s">
        <v>143</v>
      </c>
      <c r="AO54" s="0" t="n">
        <v>7</v>
      </c>
      <c r="AP54" s="0" t="n">
        <v>3</v>
      </c>
      <c r="AQ54" s="0" t="s">
        <v>203</v>
      </c>
      <c r="AR54" s="0" t="n">
        <v>5</v>
      </c>
      <c r="AS54" s="0" t="n">
        <v>1</v>
      </c>
      <c r="AT54" s="0" t="n">
        <v>3</v>
      </c>
      <c r="AU54" s="0" t="n">
        <v>6</v>
      </c>
      <c r="AV54" s="0" t="n">
        <v>4.49</v>
      </c>
      <c r="AW54" s="0" t="n">
        <v>84</v>
      </c>
      <c r="AX54" s="0" t="n">
        <v>90</v>
      </c>
      <c r="AY54" s="0" t="n">
        <v>4.5</v>
      </c>
      <c r="AZ54" s="0" t="n">
        <v>14</v>
      </c>
      <c r="BA54" s="0" t="s">
        <v>145</v>
      </c>
      <c r="BB54" s="0" t="s">
        <v>146</v>
      </c>
      <c r="BC54" s="0" t="s">
        <v>40</v>
      </c>
      <c r="BD54" s="0" t="s">
        <v>164</v>
      </c>
      <c r="BE54" s="0" t="s">
        <v>149</v>
      </c>
      <c r="BF54" s="31" t="n">
        <v>46096.4205265857</v>
      </c>
      <c r="BG54" s="0" t="s">
        <v>137</v>
      </c>
    </row>
    <row r="55" customFormat="false" ht="15" hidden="false" customHeight="false" outlineLevel="0" collapsed="false">
      <c r="A55" s="0" t="s">
        <v>445</v>
      </c>
      <c r="B55" s="0" t="s">
        <v>446</v>
      </c>
      <c r="C55" s="0" t="s">
        <v>447</v>
      </c>
      <c r="D55" s="0" t="s">
        <v>448</v>
      </c>
      <c r="E55" s="0" t="s">
        <v>37</v>
      </c>
      <c r="F55" s="0" t="s">
        <v>23</v>
      </c>
      <c r="G55" s="0" t="s">
        <v>154</v>
      </c>
      <c r="H55" s="31" t="n">
        <v>44964</v>
      </c>
      <c r="I55" s="0" t="n">
        <v>11</v>
      </c>
      <c r="J55" s="0" t="s">
        <v>155</v>
      </c>
      <c r="K55" s="0" t="s">
        <v>156</v>
      </c>
      <c r="L55" s="0" t="s">
        <v>449</v>
      </c>
      <c r="M55" s="0" t="s">
        <v>158</v>
      </c>
      <c r="N55" s="0" t="n">
        <v>3</v>
      </c>
      <c r="O55" s="0" t="s">
        <v>182</v>
      </c>
      <c r="P55" s="0" t="n">
        <v>3</v>
      </c>
      <c r="Q55" s="0" t="n">
        <v>2</v>
      </c>
      <c r="R55" s="0" t="n">
        <v>2</v>
      </c>
      <c r="S55" s="0" t="n">
        <v>2</v>
      </c>
      <c r="T55" s="0" t="n">
        <v>1</v>
      </c>
      <c r="U55" s="0" t="n">
        <v>5</v>
      </c>
      <c r="V55" s="0" t="n">
        <v>20</v>
      </c>
      <c r="W55" s="0" t="n">
        <v>20</v>
      </c>
      <c r="X55" s="0" t="n">
        <v>0</v>
      </c>
      <c r="Y55" s="0" t="n">
        <v>15</v>
      </c>
      <c r="Z55" s="0" t="n">
        <v>25</v>
      </c>
      <c r="AA55" s="0" t="s">
        <v>135</v>
      </c>
      <c r="AB55" s="0" t="s">
        <v>172</v>
      </c>
      <c r="AC55" s="0" t="s">
        <v>143</v>
      </c>
      <c r="AD55" s="0" t="n">
        <v>3</v>
      </c>
      <c r="AE55" s="0" t="s">
        <v>215</v>
      </c>
      <c r="AF55" s="0" t="s">
        <v>139</v>
      </c>
      <c r="AG55" s="0" t="s">
        <v>209</v>
      </c>
      <c r="AH55" s="0" t="n">
        <v>1</v>
      </c>
      <c r="AI55" s="0" t="n">
        <v>20</v>
      </c>
      <c r="AJ55" s="0" t="s">
        <v>141</v>
      </c>
      <c r="AK55" s="0" t="s">
        <v>162</v>
      </c>
      <c r="AL55" s="0" t="n">
        <v>10</v>
      </c>
      <c r="AM55" s="0" t="s">
        <v>137</v>
      </c>
      <c r="AN55" s="0" t="s">
        <v>137</v>
      </c>
      <c r="AO55" s="0" t="n">
        <v>1</v>
      </c>
      <c r="AP55" s="0" t="n">
        <v>0</v>
      </c>
      <c r="AQ55" s="0" t="s">
        <v>237</v>
      </c>
      <c r="AR55" s="0" t="n">
        <v>1</v>
      </c>
      <c r="AS55" s="0" t="n">
        <v>1</v>
      </c>
      <c r="AT55" s="0" t="n">
        <v>1</v>
      </c>
      <c r="AU55" s="0" t="n">
        <v>2</v>
      </c>
      <c r="AV55" s="0" t="n">
        <v>4.68</v>
      </c>
      <c r="AW55" s="0" t="n">
        <v>63</v>
      </c>
      <c r="AX55" s="0" t="n">
        <v>100</v>
      </c>
      <c r="AY55" s="0" t="n">
        <v>4.84</v>
      </c>
      <c r="AZ55" s="0" t="n">
        <v>20</v>
      </c>
      <c r="BA55" s="0" t="s">
        <v>145</v>
      </c>
      <c r="BB55" s="0" t="s">
        <v>146</v>
      </c>
      <c r="BC55" s="0" t="s">
        <v>186</v>
      </c>
      <c r="BD55" s="0" t="s">
        <v>164</v>
      </c>
      <c r="BE55" s="0" t="s">
        <v>149</v>
      </c>
      <c r="BF55" s="31" t="n">
        <v>46096.4205265857</v>
      </c>
      <c r="BG55" s="0" t="s">
        <v>137</v>
      </c>
    </row>
    <row r="56" customFormat="false" ht="15" hidden="false" customHeight="false" outlineLevel="0" collapsed="false">
      <c r="A56" s="0" t="s">
        <v>450</v>
      </c>
      <c r="B56" s="0" t="s">
        <v>451</v>
      </c>
      <c r="C56" s="0" t="s">
        <v>452</v>
      </c>
      <c r="D56" s="0" t="s">
        <v>453</v>
      </c>
      <c r="E56" s="0" t="s">
        <v>32</v>
      </c>
      <c r="F56" s="0" t="s">
        <v>28</v>
      </c>
      <c r="G56" s="0" t="s">
        <v>154</v>
      </c>
      <c r="H56" s="31" t="n">
        <v>42206</v>
      </c>
      <c r="I56" s="0" t="n">
        <v>7</v>
      </c>
      <c r="J56" s="0" t="s">
        <v>169</v>
      </c>
      <c r="K56" s="0" t="s">
        <v>242</v>
      </c>
      <c r="L56" s="0" t="s">
        <v>454</v>
      </c>
      <c r="M56" s="0" t="s">
        <v>158</v>
      </c>
      <c r="N56" s="0" t="n">
        <v>2</v>
      </c>
      <c r="O56" s="0" t="s">
        <v>171</v>
      </c>
      <c r="P56" s="0" t="n">
        <v>2</v>
      </c>
      <c r="Q56" s="0" t="n">
        <v>5</v>
      </c>
      <c r="R56" s="0" t="n">
        <v>2</v>
      </c>
      <c r="S56" s="0" t="n">
        <v>3</v>
      </c>
      <c r="T56" s="0" t="n">
        <v>2</v>
      </c>
      <c r="U56" s="0" t="n">
        <v>7</v>
      </c>
      <c r="V56" s="0" t="n">
        <v>28</v>
      </c>
      <c r="W56" s="0" t="n">
        <v>20</v>
      </c>
      <c r="X56" s="0" t="n">
        <v>0</v>
      </c>
      <c r="Y56" s="0" t="n">
        <v>13</v>
      </c>
      <c r="Z56" s="0" t="n">
        <v>35</v>
      </c>
      <c r="AA56" s="0" t="s">
        <v>135</v>
      </c>
      <c r="AB56" s="0" t="s">
        <v>136</v>
      </c>
      <c r="AC56" s="0" t="s">
        <v>143</v>
      </c>
      <c r="AD56" s="0" t="n">
        <v>9</v>
      </c>
      <c r="AE56" s="0" t="s">
        <v>215</v>
      </c>
      <c r="AF56" s="0" t="s">
        <v>140</v>
      </c>
      <c r="AG56" s="0" t="s">
        <v>160</v>
      </c>
      <c r="AH56" s="0" t="n">
        <v>2</v>
      </c>
      <c r="AI56" s="0" t="n">
        <v>20</v>
      </c>
      <c r="AJ56" s="0" t="s">
        <v>174</v>
      </c>
      <c r="AK56" s="0" t="s">
        <v>142</v>
      </c>
      <c r="AL56" s="0" t="n">
        <v>10</v>
      </c>
      <c r="AM56" s="0" t="s">
        <v>137</v>
      </c>
      <c r="AN56" s="0" t="s">
        <v>143</v>
      </c>
      <c r="AO56" s="0" t="n">
        <v>6</v>
      </c>
      <c r="AP56" s="0" t="n">
        <v>4</v>
      </c>
      <c r="AQ56" s="0" t="s">
        <v>237</v>
      </c>
      <c r="AR56" s="0" t="n">
        <v>4</v>
      </c>
      <c r="AS56" s="0" t="n">
        <v>4</v>
      </c>
      <c r="AT56" s="0" t="n">
        <v>5</v>
      </c>
      <c r="AU56" s="0" t="n">
        <v>0</v>
      </c>
      <c r="AV56" s="0" t="n">
        <v>4.83</v>
      </c>
      <c r="AW56" s="0" t="n">
        <v>87</v>
      </c>
      <c r="AX56" s="0" t="n">
        <v>89</v>
      </c>
      <c r="AY56" s="0" t="n">
        <v>4.64</v>
      </c>
      <c r="AZ56" s="0" t="n">
        <v>14</v>
      </c>
      <c r="BA56" s="0" t="s">
        <v>145</v>
      </c>
      <c r="BB56" s="0" t="s">
        <v>146</v>
      </c>
      <c r="BC56" s="0" t="s">
        <v>147</v>
      </c>
      <c r="BD56" s="0" t="s">
        <v>164</v>
      </c>
      <c r="BE56" s="0" t="s">
        <v>149</v>
      </c>
      <c r="BF56" s="31" t="n">
        <v>46096.4205265857</v>
      </c>
      <c r="BG56" s="0" t="s">
        <v>143</v>
      </c>
    </row>
    <row r="57" customFormat="false" ht="15" hidden="false" customHeight="false" outlineLevel="0" collapsed="false">
      <c r="A57" s="0" t="s">
        <v>455</v>
      </c>
      <c r="B57" s="0" t="s">
        <v>456</v>
      </c>
      <c r="C57" s="0" t="s">
        <v>457</v>
      </c>
      <c r="D57" s="0" t="s">
        <v>458</v>
      </c>
      <c r="E57" s="0" t="s">
        <v>37</v>
      </c>
      <c r="F57" s="0" t="s">
        <v>33</v>
      </c>
      <c r="G57" s="0" t="s">
        <v>129</v>
      </c>
      <c r="H57" s="31" t="n">
        <v>42039</v>
      </c>
      <c r="I57" s="0" t="n">
        <v>13</v>
      </c>
      <c r="J57" s="0" t="s">
        <v>169</v>
      </c>
      <c r="K57" s="0" t="s">
        <v>191</v>
      </c>
      <c r="L57" s="0" t="s">
        <v>459</v>
      </c>
      <c r="M57" s="0" t="s">
        <v>201</v>
      </c>
      <c r="N57" s="0" t="n">
        <v>5</v>
      </c>
      <c r="O57" s="0" t="s">
        <v>134</v>
      </c>
      <c r="P57" s="0" t="n">
        <v>2</v>
      </c>
      <c r="Q57" s="0" t="n">
        <v>3</v>
      </c>
      <c r="R57" s="0" t="n">
        <v>6</v>
      </c>
      <c r="S57" s="0" t="n">
        <v>3</v>
      </c>
      <c r="T57" s="0" t="n">
        <v>1</v>
      </c>
      <c r="U57" s="0" t="n">
        <v>10</v>
      </c>
      <c r="V57" s="0" t="n">
        <v>40</v>
      </c>
      <c r="W57" s="0" t="n">
        <v>20</v>
      </c>
      <c r="X57" s="0" t="n">
        <v>0</v>
      </c>
      <c r="Y57" s="0" t="n">
        <v>10</v>
      </c>
      <c r="Z57" s="0" t="n">
        <v>50</v>
      </c>
      <c r="AA57" s="0" t="s">
        <v>135</v>
      </c>
      <c r="AB57" s="0" t="s">
        <v>136</v>
      </c>
      <c r="AC57" s="0" t="s">
        <v>143</v>
      </c>
      <c r="AD57" s="0" t="n">
        <v>7</v>
      </c>
      <c r="AE57" s="0" t="s">
        <v>138</v>
      </c>
      <c r="AF57" s="0" t="s">
        <v>209</v>
      </c>
      <c r="AG57" s="0" t="s">
        <v>140</v>
      </c>
      <c r="AH57" s="0" t="n">
        <v>1</v>
      </c>
      <c r="AI57" s="0" t="n">
        <v>14</v>
      </c>
      <c r="AJ57" s="0" t="s">
        <v>250</v>
      </c>
      <c r="AK57" s="0" t="s">
        <v>162</v>
      </c>
      <c r="AL57" s="0" t="n">
        <v>3</v>
      </c>
      <c r="AM57" s="0" t="s">
        <v>143</v>
      </c>
      <c r="AN57" s="0" t="s">
        <v>143</v>
      </c>
      <c r="AO57" s="0" t="n">
        <v>9</v>
      </c>
      <c r="AP57" s="0" t="n">
        <v>7</v>
      </c>
      <c r="AQ57" s="0" t="s">
        <v>237</v>
      </c>
      <c r="AR57" s="0" t="n">
        <v>4</v>
      </c>
      <c r="AS57" s="0" t="n">
        <v>2</v>
      </c>
      <c r="AT57" s="0" t="n">
        <v>2</v>
      </c>
      <c r="AU57" s="0" t="n">
        <v>1</v>
      </c>
      <c r="AV57" s="0" t="n">
        <v>4.41</v>
      </c>
      <c r="AW57" s="0" t="n">
        <v>74</v>
      </c>
      <c r="AX57" s="0" t="n">
        <v>93</v>
      </c>
      <c r="AY57" s="0" t="n">
        <v>4.53</v>
      </c>
      <c r="AZ57" s="0" t="n">
        <v>12</v>
      </c>
      <c r="BA57" s="0" t="s">
        <v>145</v>
      </c>
      <c r="BB57" s="0" t="s">
        <v>146</v>
      </c>
      <c r="BC57" s="0" t="s">
        <v>147</v>
      </c>
      <c r="BD57" s="0" t="s">
        <v>148</v>
      </c>
      <c r="BE57" s="0" t="s">
        <v>176</v>
      </c>
      <c r="BF57" s="31" t="n">
        <v>46096.4205265857</v>
      </c>
      <c r="BG57" s="0" t="s">
        <v>143</v>
      </c>
    </row>
    <row r="58" customFormat="false" ht="15" hidden="false" customHeight="false" outlineLevel="0" collapsed="false">
      <c r="A58" s="0" t="s">
        <v>460</v>
      </c>
      <c r="B58" s="0" t="s">
        <v>461</v>
      </c>
      <c r="C58" s="0" t="s">
        <v>462</v>
      </c>
      <c r="D58" s="0" t="s">
        <v>463</v>
      </c>
      <c r="E58" s="0" t="s">
        <v>27</v>
      </c>
      <c r="F58" s="0" t="s">
        <v>23</v>
      </c>
      <c r="G58" s="0" t="s">
        <v>129</v>
      </c>
      <c r="H58" s="31" t="n">
        <v>43599</v>
      </c>
      <c r="I58" s="0" t="n">
        <v>14</v>
      </c>
      <c r="J58" s="0" t="s">
        <v>155</v>
      </c>
      <c r="K58" s="0" t="s">
        <v>242</v>
      </c>
      <c r="L58" s="0" t="s">
        <v>464</v>
      </c>
      <c r="M58" s="0" t="s">
        <v>201</v>
      </c>
      <c r="N58" s="0" t="n">
        <v>5</v>
      </c>
      <c r="O58" s="0" t="s">
        <v>134</v>
      </c>
      <c r="P58" s="0" t="n">
        <v>1</v>
      </c>
      <c r="Q58" s="0" t="n">
        <v>3</v>
      </c>
      <c r="R58" s="0" t="n">
        <v>5</v>
      </c>
      <c r="S58" s="0" t="n">
        <v>0</v>
      </c>
      <c r="T58" s="0" t="n">
        <v>0</v>
      </c>
      <c r="U58" s="0" t="n">
        <v>5</v>
      </c>
      <c r="V58" s="0" t="n">
        <v>20</v>
      </c>
      <c r="W58" s="0" t="n">
        <v>20</v>
      </c>
      <c r="X58" s="0" t="n">
        <v>0</v>
      </c>
      <c r="Y58" s="0" t="n">
        <v>15</v>
      </c>
      <c r="Z58" s="0" t="n">
        <v>25</v>
      </c>
      <c r="AA58" s="0" t="s">
        <v>135</v>
      </c>
      <c r="AB58" s="0" t="s">
        <v>172</v>
      </c>
      <c r="AC58" s="0" t="s">
        <v>143</v>
      </c>
      <c r="AD58" s="0" t="n">
        <v>3</v>
      </c>
      <c r="AE58" s="0" t="s">
        <v>183</v>
      </c>
      <c r="AF58" s="0" t="s">
        <v>173</v>
      </c>
      <c r="AG58" s="0" t="s">
        <v>160</v>
      </c>
      <c r="AH58" s="0" t="n">
        <v>1</v>
      </c>
      <c r="AI58" s="0" t="n">
        <v>5</v>
      </c>
      <c r="AJ58" s="0" t="s">
        <v>185</v>
      </c>
      <c r="AK58" s="0" t="s">
        <v>162</v>
      </c>
      <c r="AL58" s="0" t="n">
        <v>10</v>
      </c>
      <c r="AM58" s="0" t="s">
        <v>143</v>
      </c>
      <c r="AN58" s="0" t="s">
        <v>143</v>
      </c>
      <c r="AO58" s="0" t="n">
        <v>9</v>
      </c>
      <c r="AP58" s="0" t="n">
        <v>1</v>
      </c>
      <c r="AQ58" s="0" t="s">
        <v>203</v>
      </c>
      <c r="AR58" s="0" t="n">
        <v>5</v>
      </c>
      <c r="AS58" s="0" t="n">
        <v>5</v>
      </c>
      <c r="AT58" s="0" t="n">
        <v>5</v>
      </c>
      <c r="AU58" s="0" t="n">
        <v>6</v>
      </c>
      <c r="AV58" s="0" t="n">
        <v>3.71</v>
      </c>
      <c r="AW58" s="0" t="n">
        <v>85</v>
      </c>
      <c r="AX58" s="0" t="n">
        <v>75</v>
      </c>
      <c r="AY58" s="0" t="n">
        <v>3.73</v>
      </c>
      <c r="AZ58" s="0" t="n">
        <v>19</v>
      </c>
      <c r="BA58" s="0" t="s">
        <v>145</v>
      </c>
      <c r="BB58" s="0" t="s">
        <v>146</v>
      </c>
      <c r="BC58" s="0" t="s">
        <v>186</v>
      </c>
      <c r="BD58" s="0" t="s">
        <v>164</v>
      </c>
      <c r="BE58" s="0" t="s">
        <v>149</v>
      </c>
      <c r="BF58" s="31" t="n">
        <v>46096.4205265857</v>
      </c>
      <c r="BG58" s="0" t="s">
        <v>143</v>
      </c>
    </row>
    <row r="59" customFormat="false" ht="15" hidden="false" customHeight="false" outlineLevel="0" collapsed="false">
      <c r="A59" s="0" t="s">
        <v>465</v>
      </c>
      <c r="B59" s="0" t="s">
        <v>466</v>
      </c>
      <c r="C59" s="0" t="s">
        <v>467</v>
      </c>
      <c r="D59" s="0" t="s">
        <v>468</v>
      </c>
      <c r="E59" s="0" t="s">
        <v>32</v>
      </c>
      <c r="F59" s="0" t="s">
        <v>28</v>
      </c>
      <c r="G59" s="0" t="s">
        <v>129</v>
      </c>
      <c r="H59" s="31" t="n">
        <v>42801</v>
      </c>
      <c r="I59" s="0" t="n">
        <v>5</v>
      </c>
      <c r="J59" s="0" t="s">
        <v>169</v>
      </c>
      <c r="K59" s="0" t="s">
        <v>242</v>
      </c>
      <c r="L59" s="0" t="s">
        <v>469</v>
      </c>
      <c r="M59" s="0" t="s">
        <v>158</v>
      </c>
      <c r="N59" s="0" t="n">
        <v>3</v>
      </c>
      <c r="O59" s="0" t="s">
        <v>134</v>
      </c>
      <c r="P59" s="0" t="n">
        <v>3</v>
      </c>
      <c r="Q59" s="0" t="n">
        <v>4</v>
      </c>
      <c r="R59" s="0" t="n">
        <v>5</v>
      </c>
      <c r="S59" s="0" t="n">
        <v>0</v>
      </c>
      <c r="T59" s="0" t="n">
        <v>0</v>
      </c>
      <c r="U59" s="0" t="n">
        <v>5</v>
      </c>
      <c r="V59" s="0" t="n">
        <v>20</v>
      </c>
      <c r="W59" s="0" t="n">
        <v>20</v>
      </c>
      <c r="X59" s="0" t="n">
        <v>0</v>
      </c>
      <c r="Y59" s="0" t="n">
        <v>15</v>
      </c>
      <c r="Z59" s="0" t="n">
        <v>25</v>
      </c>
      <c r="AA59" s="0" t="s">
        <v>135</v>
      </c>
      <c r="AB59" s="0" t="s">
        <v>136</v>
      </c>
      <c r="AC59" s="0" t="s">
        <v>143</v>
      </c>
      <c r="AD59" s="0" t="n">
        <v>3</v>
      </c>
      <c r="AE59" s="0" t="s">
        <v>159</v>
      </c>
      <c r="AF59" s="0" t="s">
        <v>173</v>
      </c>
      <c r="AG59" s="0" t="s">
        <v>161</v>
      </c>
      <c r="AH59" s="0" t="n">
        <v>2</v>
      </c>
      <c r="AI59" s="0" t="n">
        <v>12</v>
      </c>
      <c r="AJ59" s="0" t="s">
        <v>141</v>
      </c>
      <c r="AK59" s="0" t="s">
        <v>142</v>
      </c>
      <c r="AL59" s="0" t="n">
        <v>10</v>
      </c>
      <c r="AM59" s="0" t="s">
        <v>143</v>
      </c>
      <c r="AN59" s="0" t="s">
        <v>143</v>
      </c>
      <c r="AO59" s="0" t="n">
        <v>0</v>
      </c>
      <c r="AP59" s="0" t="n">
        <v>3</v>
      </c>
      <c r="AQ59" s="0" t="s">
        <v>237</v>
      </c>
      <c r="AR59" s="0" t="n">
        <v>3</v>
      </c>
      <c r="AS59" s="0" t="n">
        <v>4</v>
      </c>
      <c r="AT59" s="0" t="n">
        <v>1</v>
      </c>
      <c r="AU59" s="0" t="n">
        <v>5</v>
      </c>
      <c r="AV59" s="0" t="n">
        <v>3.31</v>
      </c>
      <c r="AW59" s="0" t="n">
        <v>69</v>
      </c>
      <c r="AX59" s="0" t="n">
        <v>76</v>
      </c>
      <c r="AY59" s="0" t="n">
        <v>3.55</v>
      </c>
      <c r="AZ59" s="0" t="n">
        <v>16</v>
      </c>
      <c r="BA59" s="0" t="s">
        <v>145</v>
      </c>
      <c r="BB59" s="0" t="s">
        <v>146</v>
      </c>
      <c r="BC59" s="0" t="s">
        <v>40</v>
      </c>
      <c r="BD59" s="0" t="s">
        <v>164</v>
      </c>
      <c r="BE59" s="0" t="s">
        <v>176</v>
      </c>
      <c r="BF59" s="31" t="n">
        <v>46096.4205265857</v>
      </c>
      <c r="BG59" s="0" t="s">
        <v>137</v>
      </c>
    </row>
    <row r="60" customFormat="false" ht="15" hidden="false" customHeight="false" outlineLevel="0" collapsed="false">
      <c r="A60" s="0" t="s">
        <v>470</v>
      </c>
      <c r="B60" s="0" t="s">
        <v>471</v>
      </c>
      <c r="C60" s="0" t="s">
        <v>472</v>
      </c>
      <c r="D60" s="0" t="s">
        <v>473</v>
      </c>
      <c r="E60" s="0" t="s">
        <v>32</v>
      </c>
      <c r="F60" s="0" t="s">
        <v>28</v>
      </c>
      <c r="G60" s="0" t="s">
        <v>154</v>
      </c>
      <c r="H60" s="31" t="n">
        <v>43878</v>
      </c>
      <c r="I60" s="0" t="n">
        <v>9</v>
      </c>
      <c r="J60" s="0" t="s">
        <v>130</v>
      </c>
      <c r="K60" s="0" t="s">
        <v>199</v>
      </c>
      <c r="L60" s="0" t="s">
        <v>474</v>
      </c>
      <c r="M60" s="0" t="s">
        <v>158</v>
      </c>
      <c r="N60" s="0" t="n">
        <v>4</v>
      </c>
      <c r="O60" s="0" t="s">
        <v>134</v>
      </c>
      <c r="P60" s="0" t="n">
        <v>4</v>
      </c>
      <c r="Q60" s="0" t="n">
        <v>5</v>
      </c>
      <c r="R60" s="0" t="n">
        <v>2</v>
      </c>
      <c r="S60" s="0" t="n">
        <v>1</v>
      </c>
      <c r="T60" s="0" t="n">
        <v>1</v>
      </c>
      <c r="U60" s="0" t="n">
        <v>4</v>
      </c>
      <c r="V60" s="0" t="n">
        <v>16</v>
      </c>
      <c r="W60" s="0" t="n">
        <v>20</v>
      </c>
      <c r="X60" s="0" t="n">
        <v>0</v>
      </c>
      <c r="Y60" s="0" t="n">
        <v>16</v>
      </c>
      <c r="Z60" s="0" t="n">
        <v>20</v>
      </c>
      <c r="AA60" s="0" t="s">
        <v>135</v>
      </c>
      <c r="AB60" s="0" t="s">
        <v>136</v>
      </c>
      <c r="AC60" s="0" t="s">
        <v>143</v>
      </c>
      <c r="AD60" s="0" t="n">
        <v>7</v>
      </c>
      <c r="AE60" s="0" t="s">
        <v>215</v>
      </c>
      <c r="AF60" s="0" t="s">
        <v>173</v>
      </c>
      <c r="AG60" s="0" t="s">
        <v>160</v>
      </c>
      <c r="AH60" s="0" t="n">
        <v>1</v>
      </c>
      <c r="AI60" s="0" t="n">
        <v>5</v>
      </c>
      <c r="AJ60" s="0" t="s">
        <v>185</v>
      </c>
      <c r="AK60" s="0" t="s">
        <v>142</v>
      </c>
      <c r="AL60" s="0" t="n">
        <v>3</v>
      </c>
      <c r="AM60" s="0" t="s">
        <v>137</v>
      </c>
      <c r="AN60" s="0" t="s">
        <v>143</v>
      </c>
      <c r="AO60" s="0" t="n">
        <v>0</v>
      </c>
      <c r="AP60" s="0" t="n">
        <v>1</v>
      </c>
      <c r="AQ60" s="0" t="s">
        <v>237</v>
      </c>
      <c r="AR60" s="0" t="n">
        <v>2</v>
      </c>
      <c r="AS60" s="0" t="n">
        <v>3</v>
      </c>
      <c r="AT60" s="0" t="n">
        <v>3</v>
      </c>
      <c r="AU60" s="0" t="n">
        <v>8</v>
      </c>
      <c r="AV60" s="0" t="n">
        <v>3.56</v>
      </c>
      <c r="AW60" s="0" t="n">
        <v>100</v>
      </c>
      <c r="AX60" s="0" t="n">
        <v>97</v>
      </c>
      <c r="AY60" s="0" t="n">
        <v>4.21</v>
      </c>
      <c r="AZ60" s="0" t="n">
        <v>19</v>
      </c>
      <c r="BA60" s="0" t="s">
        <v>145</v>
      </c>
      <c r="BB60" s="0" t="s">
        <v>146</v>
      </c>
      <c r="BC60" s="0" t="s">
        <v>147</v>
      </c>
      <c r="BD60" s="0" t="s">
        <v>148</v>
      </c>
      <c r="BE60" s="0" t="s">
        <v>149</v>
      </c>
      <c r="BF60" s="31" t="n">
        <v>46096.4205265857</v>
      </c>
      <c r="BG60" s="0" t="s">
        <v>137</v>
      </c>
    </row>
    <row r="61" customFormat="false" ht="15" hidden="false" customHeight="false" outlineLevel="0" collapsed="false">
      <c r="A61" s="0" t="s">
        <v>475</v>
      </c>
      <c r="B61" s="0" t="s">
        <v>476</v>
      </c>
      <c r="C61" s="0" t="s">
        <v>477</v>
      </c>
      <c r="D61" s="0" t="s">
        <v>478</v>
      </c>
      <c r="E61" s="0" t="s">
        <v>37</v>
      </c>
      <c r="F61" s="0" t="s">
        <v>28</v>
      </c>
      <c r="G61" s="0" t="s">
        <v>154</v>
      </c>
      <c r="H61" s="31" t="n">
        <v>42353</v>
      </c>
      <c r="I61" s="0" t="n">
        <v>4</v>
      </c>
      <c r="J61" s="0" t="s">
        <v>155</v>
      </c>
      <c r="K61" s="0" t="s">
        <v>242</v>
      </c>
      <c r="L61" s="0" t="s">
        <v>479</v>
      </c>
      <c r="M61" s="0" t="s">
        <v>201</v>
      </c>
      <c r="N61" s="0" t="n">
        <v>2</v>
      </c>
      <c r="O61" s="0" t="s">
        <v>182</v>
      </c>
      <c r="P61" s="0" t="n">
        <v>4</v>
      </c>
      <c r="Q61" s="0" t="n">
        <v>2</v>
      </c>
      <c r="R61" s="0" t="n">
        <v>4</v>
      </c>
      <c r="S61" s="0" t="n">
        <v>2</v>
      </c>
      <c r="T61" s="0" t="n">
        <v>1</v>
      </c>
      <c r="U61" s="0" t="n">
        <v>7</v>
      </c>
      <c r="V61" s="0" t="n">
        <v>28</v>
      </c>
      <c r="W61" s="0" t="n">
        <v>20</v>
      </c>
      <c r="X61" s="0" t="n">
        <v>0</v>
      </c>
      <c r="Y61" s="0" t="n">
        <v>13</v>
      </c>
      <c r="Z61" s="0" t="n">
        <v>35</v>
      </c>
      <c r="AA61" s="0" t="s">
        <v>135</v>
      </c>
      <c r="AB61" s="0" t="s">
        <v>172</v>
      </c>
      <c r="AC61" s="0" t="s">
        <v>143</v>
      </c>
      <c r="AD61" s="0" t="n">
        <v>5</v>
      </c>
      <c r="AE61" s="0" t="s">
        <v>183</v>
      </c>
      <c r="AF61" s="0" t="s">
        <v>139</v>
      </c>
      <c r="AG61" s="0" t="s">
        <v>209</v>
      </c>
      <c r="AH61" s="0" t="n">
        <v>1</v>
      </c>
      <c r="AI61" s="0" t="n">
        <v>16</v>
      </c>
      <c r="AJ61" s="0" t="s">
        <v>193</v>
      </c>
      <c r="AK61" s="0" t="s">
        <v>162</v>
      </c>
      <c r="AL61" s="0" t="n">
        <v>5</v>
      </c>
      <c r="AM61" s="0" t="s">
        <v>137</v>
      </c>
      <c r="AN61" s="0" t="s">
        <v>143</v>
      </c>
      <c r="AO61" s="0" t="n">
        <v>3</v>
      </c>
      <c r="AP61" s="0" t="n">
        <v>0</v>
      </c>
      <c r="AQ61" s="0" t="s">
        <v>144</v>
      </c>
      <c r="AR61" s="0" t="n">
        <v>4</v>
      </c>
      <c r="AS61" s="0" t="n">
        <v>0</v>
      </c>
      <c r="AT61" s="0" t="n">
        <v>2</v>
      </c>
      <c r="AU61" s="0" t="n">
        <v>2</v>
      </c>
      <c r="AV61" s="0" t="n">
        <v>4.43</v>
      </c>
      <c r="AW61" s="0" t="n">
        <v>88</v>
      </c>
      <c r="AX61" s="0" t="n">
        <v>77</v>
      </c>
      <c r="AY61" s="0" t="n">
        <v>4.14</v>
      </c>
      <c r="AZ61" s="0" t="n">
        <v>18</v>
      </c>
      <c r="BA61" s="0" t="s">
        <v>163</v>
      </c>
      <c r="BB61" s="0" t="s">
        <v>146</v>
      </c>
      <c r="BC61" s="0" t="s">
        <v>40</v>
      </c>
      <c r="BD61" s="0" t="s">
        <v>148</v>
      </c>
      <c r="BE61" s="0" t="s">
        <v>149</v>
      </c>
      <c r="BF61" s="31" t="n">
        <v>46096.4205265857</v>
      </c>
      <c r="BG61" s="0" t="s">
        <v>143</v>
      </c>
    </row>
    <row r="62" customFormat="false" ht="15" hidden="false" customHeight="false" outlineLevel="0" collapsed="false">
      <c r="A62" s="0" t="s">
        <v>480</v>
      </c>
      <c r="B62" s="0" t="s">
        <v>481</v>
      </c>
      <c r="C62" s="0" t="s">
        <v>482</v>
      </c>
      <c r="D62" s="0" t="s">
        <v>483</v>
      </c>
      <c r="E62" s="0" t="s">
        <v>22</v>
      </c>
      <c r="F62" s="0" t="s">
        <v>33</v>
      </c>
      <c r="G62" s="0" t="s">
        <v>129</v>
      </c>
      <c r="H62" s="31" t="n">
        <v>44776</v>
      </c>
      <c r="I62" s="0" t="n">
        <v>19</v>
      </c>
      <c r="J62" s="0" t="s">
        <v>130</v>
      </c>
      <c r="K62" s="0" t="s">
        <v>131</v>
      </c>
      <c r="L62" s="0" t="s">
        <v>484</v>
      </c>
      <c r="M62" s="0" t="s">
        <v>158</v>
      </c>
      <c r="N62" s="0" t="n">
        <v>5</v>
      </c>
      <c r="O62" s="0" t="s">
        <v>134</v>
      </c>
      <c r="P62" s="0" t="n">
        <v>1</v>
      </c>
      <c r="Q62" s="0" t="n">
        <v>4</v>
      </c>
      <c r="R62" s="0" t="n">
        <v>5</v>
      </c>
      <c r="S62" s="0" t="n">
        <v>0</v>
      </c>
      <c r="T62" s="0" t="n">
        <v>2</v>
      </c>
      <c r="U62" s="0" t="n">
        <v>7</v>
      </c>
      <c r="V62" s="0" t="n">
        <v>28</v>
      </c>
      <c r="W62" s="0" t="n">
        <v>20</v>
      </c>
      <c r="X62" s="0" t="n">
        <v>0</v>
      </c>
      <c r="Y62" s="0" t="n">
        <v>13</v>
      </c>
      <c r="Z62" s="0" t="n">
        <v>35</v>
      </c>
      <c r="AA62" s="0" t="s">
        <v>135</v>
      </c>
      <c r="AB62" s="0" t="s">
        <v>172</v>
      </c>
      <c r="AC62" s="0" t="s">
        <v>137</v>
      </c>
      <c r="AD62" s="0" t="n">
        <v>7</v>
      </c>
      <c r="AE62" s="0" t="s">
        <v>249</v>
      </c>
      <c r="AF62" s="0" t="s">
        <v>184</v>
      </c>
      <c r="AG62" s="0" t="s">
        <v>266</v>
      </c>
      <c r="AH62" s="0" t="n">
        <v>2</v>
      </c>
      <c r="AI62" s="0" t="n">
        <v>5</v>
      </c>
      <c r="AJ62" s="0" t="s">
        <v>141</v>
      </c>
      <c r="AK62" s="0" t="s">
        <v>162</v>
      </c>
      <c r="AL62" s="0" t="n">
        <v>8</v>
      </c>
      <c r="AM62" s="0" t="s">
        <v>137</v>
      </c>
      <c r="AN62" s="0" t="s">
        <v>143</v>
      </c>
      <c r="AO62" s="0" t="n">
        <v>9</v>
      </c>
      <c r="AP62" s="0" t="n">
        <v>7</v>
      </c>
      <c r="AQ62" s="0" t="s">
        <v>203</v>
      </c>
      <c r="AR62" s="0" t="n">
        <v>1</v>
      </c>
      <c r="AS62" s="0" t="n">
        <v>0</v>
      </c>
      <c r="AT62" s="0" t="n">
        <v>5</v>
      </c>
      <c r="AU62" s="0" t="n">
        <v>5</v>
      </c>
      <c r="AV62" s="0" t="n">
        <v>4.88</v>
      </c>
      <c r="AW62" s="0" t="n">
        <v>72</v>
      </c>
      <c r="AX62" s="0" t="n">
        <v>72</v>
      </c>
      <c r="AY62" s="0" t="n">
        <v>4.24</v>
      </c>
      <c r="AZ62" s="0" t="n">
        <v>16</v>
      </c>
      <c r="BA62" s="0" t="s">
        <v>163</v>
      </c>
      <c r="BB62" s="0" t="s">
        <v>146</v>
      </c>
      <c r="BC62" s="0" t="s">
        <v>40</v>
      </c>
      <c r="BD62" s="0" t="s">
        <v>148</v>
      </c>
      <c r="BE62" s="0" t="s">
        <v>149</v>
      </c>
      <c r="BF62" s="31" t="n">
        <v>46096.4205265857</v>
      </c>
      <c r="BG62" s="0" t="s">
        <v>137</v>
      </c>
    </row>
    <row r="63" customFormat="false" ht="15" hidden="false" customHeight="false" outlineLevel="0" collapsed="false">
      <c r="A63" s="0" t="s">
        <v>485</v>
      </c>
      <c r="B63" s="0" t="s">
        <v>486</v>
      </c>
      <c r="C63" s="0" t="s">
        <v>487</v>
      </c>
      <c r="D63" s="0" t="s">
        <v>488</v>
      </c>
      <c r="E63" s="0" t="s">
        <v>37</v>
      </c>
      <c r="F63" s="0" t="s">
        <v>33</v>
      </c>
      <c r="G63" s="0" t="s">
        <v>154</v>
      </c>
      <c r="H63" s="31" t="n">
        <v>43333</v>
      </c>
      <c r="I63" s="0" t="n">
        <v>1</v>
      </c>
      <c r="J63" s="0" t="s">
        <v>169</v>
      </c>
      <c r="K63" s="0" t="s">
        <v>242</v>
      </c>
      <c r="L63" s="0" t="s">
        <v>489</v>
      </c>
      <c r="M63" s="0" t="s">
        <v>158</v>
      </c>
      <c r="N63" s="0" t="n">
        <v>1</v>
      </c>
      <c r="O63" s="0" t="s">
        <v>171</v>
      </c>
      <c r="P63" s="0" t="n">
        <v>3</v>
      </c>
      <c r="Q63" s="0" t="n">
        <v>5</v>
      </c>
      <c r="R63" s="0" t="n">
        <v>4</v>
      </c>
      <c r="S63" s="0" t="n">
        <v>0</v>
      </c>
      <c r="T63" s="0" t="n">
        <v>2</v>
      </c>
      <c r="U63" s="0" t="n">
        <v>6</v>
      </c>
      <c r="V63" s="0" t="n">
        <v>24</v>
      </c>
      <c r="W63" s="0" t="n">
        <v>20</v>
      </c>
      <c r="X63" s="0" t="n">
        <v>0</v>
      </c>
      <c r="Y63" s="0" t="n">
        <v>14</v>
      </c>
      <c r="Z63" s="0" t="n">
        <v>30</v>
      </c>
      <c r="AA63" s="0" t="s">
        <v>135</v>
      </c>
      <c r="AB63" s="0" t="s">
        <v>172</v>
      </c>
      <c r="AC63" s="0" t="s">
        <v>137</v>
      </c>
      <c r="AD63" s="0" t="n">
        <v>8</v>
      </c>
      <c r="AE63" s="0" t="s">
        <v>159</v>
      </c>
      <c r="AF63" s="0" t="s">
        <v>209</v>
      </c>
      <c r="AG63" s="0" t="s">
        <v>173</v>
      </c>
      <c r="AH63" s="0" t="n">
        <v>2</v>
      </c>
      <c r="AI63" s="0" t="n">
        <v>15</v>
      </c>
      <c r="AJ63" s="0" t="s">
        <v>141</v>
      </c>
      <c r="AK63" s="0" t="s">
        <v>162</v>
      </c>
      <c r="AL63" s="0" t="n">
        <v>1</v>
      </c>
      <c r="AM63" s="0" t="s">
        <v>143</v>
      </c>
      <c r="AN63" s="0" t="s">
        <v>143</v>
      </c>
      <c r="AO63" s="0" t="n">
        <v>10</v>
      </c>
      <c r="AP63" s="0" t="n">
        <v>7</v>
      </c>
      <c r="AQ63" s="0" t="s">
        <v>144</v>
      </c>
      <c r="AR63" s="0" t="n">
        <v>4</v>
      </c>
      <c r="AS63" s="0" t="n">
        <v>5</v>
      </c>
      <c r="AT63" s="0" t="n">
        <v>2</v>
      </c>
      <c r="AU63" s="0" t="n">
        <v>6</v>
      </c>
      <c r="AV63" s="0" t="n">
        <v>3.71</v>
      </c>
      <c r="AW63" s="0" t="n">
        <v>95</v>
      </c>
      <c r="AX63" s="0" t="n">
        <v>100</v>
      </c>
      <c r="AY63" s="0" t="n">
        <v>4.36</v>
      </c>
      <c r="AZ63" s="0" t="n">
        <v>9</v>
      </c>
      <c r="BA63" s="0" t="s">
        <v>163</v>
      </c>
      <c r="BB63" s="0" t="s">
        <v>146</v>
      </c>
      <c r="BC63" s="0" t="s">
        <v>186</v>
      </c>
      <c r="BD63" s="0" t="s">
        <v>164</v>
      </c>
      <c r="BE63" s="0" t="s">
        <v>149</v>
      </c>
      <c r="BF63" s="31" t="n">
        <v>46096.4205265857</v>
      </c>
      <c r="BG63" s="0" t="s">
        <v>137</v>
      </c>
    </row>
    <row r="64" customFormat="false" ht="15" hidden="false" customHeight="false" outlineLevel="0" collapsed="false">
      <c r="A64" s="0" t="s">
        <v>490</v>
      </c>
      <c r="B64" s="0" t="s">
        <v>491</v>
      </c>
      <c r="C64" s="0" t="s">
        <v>492</v>
      </c>
      <c r="D64" s="0" t="s">
        <v>493</v>
      </c>
      <c r="E64" s="0" t="s">
        <v>39</v>
      </c>
      <c r="F64" s="0" t="s">
        <v>28</v>
      </c>
      <c r="G64" s="0" t="s">
        <v>198</v>
      </c>
      <c r="H64" s="31" t="n">
        <v>44718</v>
      </c>
      <c r="I64" s="0" t="n">
        <v>19</v>
      </c>
      <c r="J64" s="0" t="s">
        <v>130</v>
      </c>
      <c r="K64" s="0" t="s">
        <v>191</v>
      </c>
      <c r="L64" s="0" t="s">
        <v>494</v>
      </c>
      <c r="M64" s="0" t="s">
        <v>158</v>
      </c>
      <c r="N64" s="0" t="n">
        <v>3</v>
      </c>
      <c r="O64" s="0" t="s">
        <v>171</v>
      </c>
      <c r="P64" s="0" t="n">
        <v>2</v>
      </c>
      <c r="Q64" s="0" t="n">
        <v>2</v>
      </c>
      <c r="R64" s="0" t="n">
        <v>6</v>
      </c>
      <c r="S64" s="0" t="n">
        <v>3</v>
      </c>
      <c r="T64" s="0" t="n">
        <v>2</v>
      </c>
      <c r="U64" s="0" t="n">
        <v>11</v>
      </c>
      <c r="V64" s="0" t="n">
        <v>44</v>
      </c>
      <c r="W64" s="0" t="n">
        <v>20</v>
      </c>
      <c r="X64" s="0" t="n">
        <v>0</v>
      </c>
      <c r="Y64" s="0" t="n">
        <v>9</v>
      </c>
      <c r="Z64" s="0" t="n">
        <v>55</v>
      </c>
      <c r="AA64" s="0" t="s">
        <v>135</v>
      </c>
      <c r="AB64" s="0" t="s">
        <v>136</v>
      </c>
      <c r="AC64" s="0" t="s">
        <v>143</v>
      </c>
      <c r="AD64" s="0" t="n">
        <v>3</v>
      </c>
      <c r="AE64" s="0" t="s">
        <v>138</v>
      </c>
      <c r="AF64" s="0" t="s">
        <v>140</v>
      </c>
      <c r="AG64" s="0" t="s">
        <v>173</v>
      </c>
      <c r="AH64" s="0" t="n">
        <v>1</v>
      </c>
      <c r="AI64" s="0" t="n">
        <v>5</v>
      </c>
      <c r="AJ64" s="0" t="s">
        <v>185</v>
      </c>
      <c r="AK64" s="0" t="s">
        <v>142</v>
      </c>
      <c r="AL64" s="0" t="n">
        <v>3</v>
      </c>
      <c r="AM64" s="0" t="s">
        <v>137</v>
      </c>
      <c r="AN64" s="0" t="s">
        <v>143</v>
      </c>
      <c r="AO64" s="0" t="n">
        <v>6</v>
      </c>
      <c r="AP64" s="0" t="n">
        <v>1</v>
      </c>
      <c r="AQ64" s="0" t="s">
        <v>237</v>
      </c>
      <c r="AR64" s="0" t="n">
        <v>5</v>
      </c>
      <c r="AS64" s="0" t="n">
        <v>5</v>
      </c>
      <c r="AT64" s="0" t="n">
        <v>5</v>
      </c>
      <c r="AU64" s="0" t="n">
        <v>6</v>
      </c>
      <c r="AV64" s="0" t="n">
        <v>4.47</v>
      </c>
      <c r="AW64" s="0" t="n">
        <v>66</v>
      </c>
      <c r="AX64" s="0" t="n">
        <v>77</v>
      </c>
      <c r="AY64" s="0" t="n">
        <v>4.16</v>
      </c>
      <c r="AZ64" s="0" t="n">
        <v>7</v>
      </c>
      <c r="BA64" s="0" t="s">
        <v>163</v>
      </c>
      <c r="BB64" s="0" t="s">
        <v>146</v>
      </c>
      <c r="BC64" s="0" t="s">
        <v>147</v>
      </c>
      <c r="BD64" s="0" t="s">
        <v>164</v>
      </c>
      <c r="BE64" s="0" t="s">
        <v>176</v>
      </c>
      <c r="BF64" s="31" t="n">
        <v>46096.4205265857</v>
      </c>
      <c r="BG64" s="0" t="s">
        <v>137</v>
      </c>
    </row>
    <row r="65" customFormat="false" ht="15" hidden="false" customHeight="false" outlineLevel="0" collapsed="false">
      <c r="A65" s="0" t="s">
        <v>495</v>
      </c>
      <c r="B65" s="0" t="s">
        <v>496</v>
      </c>
      <c r="C65" s="0" t="s">
        <v>497</v>
      </c>
      <c r="D65" s="0" t="s">
        <v>498</v>
      </c>
      <c r="E65" s="0" t="s">
        <v>32</v>
      </c>
      <c r="F65" s="0" t="s">
        <v>33</v>
      </c>
      <c r="G65" s="0" t="s">
        <v>129</v>
      </c>
      <c r="H65" s="31" t="n">
        <v>44073</v>
      </c>
      <c r="I65" s="0" t="n">
        <v>8</v>
      </c>
      <c r="J65" s="0" t="s">
        <v>169</v>
      </c>
      <c r="K65" s="0" t="s">
        <v>131</v>
      </c>
      <c r="L65" s="0" t="s">
        <v>499</v>
      </c>
      <c r="M65" s="0" t="s">
        <v>201</v>
      </c>
      <c r="N65" s="0" t="n">
        <v>4</v>
      </c>
      <c r="O65" s="0" t="s">
        <v>182</v>
      </c>
      <c r="P65" s="0" t="n">
        <v>3</v>
      </c>
      <c r="Q65" s="0" t="n">
        <v>2</v>
      </c>
      <c r="R65" s="0" t="n">
        <v>5</v>
      </c>
      <c r="S65" s="0" t="n">
        <v>1</v>
      </c>
      <c r="T65" s="0" t="n">
        <v>1</v>
      </c>
      <c r="U65" s="0" t="n">
        <v>7</v>
      </c>
      <c r="V65" s="0" t="n">
        <v>28</v>
      </c>
      <c r="W65" s="0" t="n">
        <v>20</v>
      </c>
      <c r="X65" s="0" t="n">
        <v>0</v>
      </c>
      <c r="Y65" s="0" t="n">
        <v>13</v>
      </c>
      <c r="Z65" s="0" t="n">
        <v>35</v>
      </c>
      <c r="AA65" s="0" t="s">
        <v>135</v>
      </c>
      <c r="AB65" s="0" t="s">
        <v>172</v>
      </c>
      <c r="AC65" s="0" t="s">
        <v>143</v>
      </c>
      <c r="AD65" s="0" t="n">
        <v>6</v>
      </c>
      <c r="AE65" s="0" t="s">
        <v>138</v>
      </c>
      <c r="AF65" s="0" t="s">
        <v>184</v>
      </c>
      <c r="AG65" s="0" t="s">
        <v>307</v>
      </c>
      <c r="AH65" s="0" t="n">
        <v>1</v>
      </c>
      <c r="AI65" s="0" t="n">
        <v>10</v>
      </c>
      <c r="AJ65" s="0" t="s">
        <v>174</v>
      </c>
      <c r="AK65" s="0" t="s">
        <v>162</v>
      </c>
      <c r="AL65" s="0" t="n">
        <v>2</v>
      </c>
      <c r="AM65" s="0" t="s">
        <v>137</v>
      </c>
      <c r="AN65" s="0" t="s">
        <v>137</v>
      </c>
      <c r="AO65" s="0" t="n">
        <v>7</v>
      </c>
      <c r="AP65" s="0" t="n">
        <v>0</v>
      </c>
      <c r="AQ65" s="0" t="s">
        <v>175</v>
      </c>
      <c r="AR65" s="0" t="n">
        <v>3</v>
      </c>
      <c r="AS65" s="0" t="n">
        <v>5</v>
      </c>
      <c r="AT65" s="0" t="n">
        <v>3</v>
      </c>
      <c r="AU65" s="0" t="n">
        <v>6</v>
      </c>
      <c r="AV65" s="0" t="n">
        <v>3.79</v>
      </c>
      <c r="AW65" s="0" t="n">
        <v>72</v>
      </c>
      <c r="AX65" s="0" t="n">
        <v>77</v>
      </c>
      <c r="AY65" s="0" t="n">
        <v>3.82</v>
      </c>
      <c r="AZ65" s="0" t="n">
        <v>19</v>
      </c>
      <c r="BA65" s="0" t="s">
        <v>163</v>
      </c>
      <c r="BB65" s="0" t="s">
        <v>146</v>
      </c>
      <c r="BC65" s="0" t="s">
        <v>40</v>
      </c>
      <c r="BD65" s="0" t="s">
        <v>164</v>
      </c>
      <c r="BE65" s="0" t="s">
        <v>149</v>
      </c>
      <c r="BF65" s="31" t="n">
        <v>46096.4205265857</v>
      </c>
      <c r="BG65" s="0" t="s">
        <v>143</v>
      </c>
    </row>
    <row r="66" customFormat="false" ht="15" hidden="false" customHeight="false" outlineLevel="0" collapsed="false">
      <c r="A66" s="0" t="s">
        <v>500</v>
      </c>
      <c r="B66" s="0" t="s">
        <v>501</v>
      </c>
      <c r="C66" s="0" t="s">
        <v>502</v>
      </c>
      <c r="D66" s="0" t="s">
        <v>503</v>
      </c>
      <c r="E66" s="0" t="s">
        <v>27</v>
      </c>
      <c r="F66" s="0" t="s">
        <v>23</v>
      </c>
      <c r="G66" s="0" t="s">
        <v>154</v>
      </c>
      <c r="H66" s="31" t="n">
        <v>42582</v>
      </c>
      <c r="I66" s="0" t="n">
        <v>9</v>
      </c>
      <c r="J66" s="0" t="s">
        <v>169</v>
      </c>
      <c r="K66" s="0" t="s">
        <v>156</v>
      </c>
      <c r="L66" s="0" t="s">
        <v>504</v>
      </c>
      <c r="M66" s="0" t="s">
        <v>158</v>
      </c>
      <c r="N66" s="0" t="n">
        <v>1</v>
      </c>
      <c r="O66" s="0" t="s">
        <v>171</v>
      </c>
      <c r="P66" s="0" t="n">
        <v>3</v>
      </c>
      <c r="Q66" s="0" t="n">
        <v>5</v>
      </c>
      <c r="R66" s="0" t="n">
        <v>2</v>
      </c>
      <c r="S66" s="0" t="n">
        <v>1</v>
      </c>
      <c r="T66" s="0" t="n">
        <v>0</v>
      </c>
      <c r="U66" s="0" t="n">
        <v>3</v>
      </c>
      <c r="V66" s="0" t="n">
        <v>12</v>
      </c>
      <c r="W66" s="0" t="n">
        <v>20</v>
      </c>
      <c r="X66" s="0" t="n">
        <v>0</v>
      </c>
      <c r="Y66" s="0" t="n">
        <v>17</v>
      </c>
      <c r="Z66" s="0" t="n">
        <v>15</v>
      </c>
      <c r="AA66" s="0" t="s">
        <v>135</v>
      </c>
      <c r="AB66" s="0" t="s">
        <v>136</v>
      </c>
      <c r="AC66" s="0" t="s">
        <v>137</v>
      </c>
      <c r="AD66" s="0" t="n">
        <v>8</v>
      </c>
      <c r="AE66" s="0" t="s">
        <v>215</v>
      </c>
      <c r="AF66" s="0" t="s">
        <v>140</v>
      </c>
      <c r="AG66" s="0" t="s">
        <v>173</v>
      </c>
      <c r="AH66" s="0" t="n">
        <v>1</v>
      </c>
      <c r="AI66" s="0" t="n">
        <v>12</v>
      </c>
      <c r="AJ66" s="0" t="s">
        <v>174</v>
      </c>
      <c r="AK66" s="0" t="s">
        <v>142</v>
      </c>
      <c r="AL66" s="0" t="n">
        <v>1</v>
      </c>
      <c r="AM66" s="0" t="s">
        <v>137</v>
      </c>
      <c r="AN66" s="0" t="s">
        <v>137</v>
      </c>
      <c r="AO66" s="0" t="n">
        <v>6</v>
      </c>
      <c r="AP66" s="0" t="n">
        <v>2</v>
      </c>
      <c r="AQ66" s="0" t="s">
        <v>237</v>
      </c>
      <c r="AR66" s="0" t="n">
        <v>3</v>
      </c>
      <c r="AS66" s="0" t="n">
        <v>2</v>
      </c>
      <c r="AT66" s="0" t="n">
        <v>2</v>
      </c>
      <c r="AU66" s="0" t="n">
        <v>5</v>
      </c>
      <c r="AV66" s="0" t="n">
        <v>3.72</v>
      </c>
      <c r="AW66" s="0" t="n">
        <v>77</v>
      </c>
      <c r="AX66" s="0" t="n">
        <v>86</v>
      </c>
      <c r="AY66" s="0" t="n">
        <v>4.01</v>
      </c>
      <c r="AZ66" s="0" t="n">
        <v>18</v>
      </c>
      <c r="BA66" s="0" t="s">
        <v>145</v>
      </c>
      <c r="BB66" s="0" t="s">
        <v>146</v>
      </c>
      <c r="BC66" s="0" t="s">
        <v>147</v>
      </c>
      <c r="BD66" s="0" t="s">
        <v>148</v>
      </c>
      <c r="BE66" s="0" t="s">
        <v>149</v>
      </c>
      <c r="BF66" s="31" t="n">
        <v>46096.4205265857</v>
      </c>
      <c r="BG66" s="0" t="s">
        <v>137</v>
      </c>
    </row>
    <row r="67" customFormat="false" ht="15" hidden="false" customHeight="false" outlineLevel="0" collapsed="false">
      <c r="A67" s="0" t="s">
        <v>505</v>
      </c>
      <c r="B67" s="0" t="s">
        <v>506</v>
      </c>
      <c r="C67" s="0" t="s">
        <v>507</v>
      </c>
      <c r="D67" s="0" t="s">
        <v>508</v>
      </c>
      <c r="E67" s="0" t="s">
        <v>27</v>
      </c>
      <c r="F67" s="0" t="s">
        <v>23</v>
      </c>
      <c r="G67" s="0" t="s">
        <v>198</v>
      </c>
      <c r="H67" s="31" t="n">
        <v>44560</v>
      </c>
      <c r="I67" s="0" t="n">
        <v>4</v>
      </c>
      <c r="J67" s="0" t="s">
        <v>220</v>
      </c>
      <c r="K67" s="0" t="s">
        <v>131</v>
      </c>
      <c r="L67" s="0" t="s">
        <v>509</v>
      </c>
      <c r="M67" s="0" t="s">
        <v>201</v>
      </c>
      <c r="N67" s="0" t="n">
        <v>5</v>
      </c>
      <c r="O67" s="0" t="s">
        <v>134</v>
      </c>
      <c r="P67" s="0" t="n">
        <v>4</v>
      </c>
      <c r="Q67" s="0" t="n">
        <v>4</v>
      </c>
      <c r="R67" s="0" t="n">
        <v>5</v>
      </c>
      <c r="S67" s="0" t="n">
        <v>3</v>
      </c>
      <c r="T67" s="0" t="n">
        <v>1</v>
      </c>
      <c r="U67" s="0" t="n">
        <v>9</v>
      </c>
      <c r="V67" s="0" t="n">
        <v>36</v>
      </c>
      <c r="W67" s="0" t="n">
        <v>20</v>
      </c>
      <c r="X67" s="0" t="n">
        <v>0</v>
      </c>
      <c r="Y67" s="0" t="n">
        <v>11</v>
      </c>
      <c r="Z67" s="0" t="n">
        <v>45</v>
      </c>
      <c r="AA67" s="0" t="s">
        <v>135</v>
      </c>
      <c r="AB67" s="0" t="s">
        <v>136</v>
      </c>
      <c r="AC67" s="0" t="s">
        <v>137</v>
      </c>
      <c r="AD67" s="0" t="n">
        <v>3</v>
      </c>
      <c r="AE67" s="0" t="s">
        <v>159</v>
      </c>
      <c r="AF67" s="0" t="s">
        <v>184</v>
      </c>
      <c r="AG67" s="0" t="s">
        <v>307</v>
      </c>
      <c r="AH67" s="0" t="n">
        <v>1</v>
      </c>
      <c r="AI67" s="0" t="n">
        <v>6</v>
      </c>
      <c r="AJ67" s="0" t="s">
        <v>141</v>
      </c>
      <c r="AK67" s="0" t="s">
        <v>162</v>
      </c>
      <c r="AL67" s="0" t="n">
        <v>8</v>
      </c>
      <c r="AM67" s="0" t="s">
        <v>137</v>
      </c>
      <c r="AN67" s="0" t="s">
        <v>143</v>
      </c>
      <c r="AO67" s="0" t="n">
        <v>3</v>
      </c>
      <c r="AP67" s="0" t="n">
        <v>1</v>
      </c>
      <c r="AQ67" s="0" t="s">
        <v>203</v>
      </c>
      <c r="AR67" s="0" t="n">
        <v>1</v>
      </c>
      <c r="AS67" s="0" t="n">
        <v>3</v>
      </c>
      <c r="AT67" s="0" t="n">
        <v>5</v>
      </c>
      <c r="AU67" s="0" t="n">
        <v>6</v>
      </c>
      <c r="AV67" s="0" t="n">
        <v>4.14</v>
      </c>
      <c r="AW67" s="0" t="n">
        <v>95</v>
      </c>
      <c r="AX67" s="0" t="n">
        <v>90</v>
      </c>
      <c r="AY67" s="0" t="n">
        <v>4.32</v>
      </c>
      <c r="AZ67" s="0" t="n">
        <v>7</v>
      </c>
      <c r="BA67" s="0" t="s">
        <v>145</v>
      </c>
      <c r="BB67" s="0" t="s">
        <v>146</v>
      </c>
      <c r="BC67" s="0" t="s">
        <v>186</v>
      </c>
      <c r="BD67" s="0" t="s">
        <v>164</v>
      </c>
      <c r="BE67" s="0" t="s">
        <v>176</v>
      </c>
      <c r="BF67" s="31" t="n">
        <v>46096.4205265857</v>
      </c>
      <c r="BG67" s="0" t="s">
        <v>143</v>
      </c>
    </row>
    <row r="68" customFormat="false" ht="15" hidden="false" customHeight="false" outlineLevel="0" collapsed="false">
      <c r="A68" s="0" t="s">
        <v>510</v>
      </c>
      <c r="B68" s="0" t="s">
        <v>511</v>
      </c>
      <c r="C68" s="0" t="s">
        <v>512</v>
      </c>
      <c r="D68" s="0" t="s">
        <v>513</v>
      </c>
      <c r="E68" s="0" t="s">
        <v>27</v>
      </c>
      <c r="F68" s="0" t="s">
        <v>23</v>
      </c>
      <c r="G68" s="0" t="s">
        <v>154</v>
      </c>
      <c r="H68" s="31" t="n">
        <v>43361</v>
      </c>
      <c r="I68" s="0" t="n">
        <v>5</v>
      </c>
      <c r="J68" s="0" t="s">
        <v>155</v>
      </c>
      <c r="K68" s="0" t="s">
        <v>191</v>
      </c>
      <c r="L68" s="0" t="s">
        <v>514</v>
      </c>
      <c r="M68" s="0" t="s">
        <v>201</v>
      </c>
      <c r="N68" s="0" t="n">
        <v>5</v>
      </c>
      <c r="O68" s="0" t="s">
        <v>171</v>
      </c>
      <c r="P68" s="0" t="n">
        <v>4</v>
      </c>
      <c r="Q68" s="0" t="n">
        <v>5</v>
      </c>
      <c r="R68" s="0" t="n">
        <v>2</v>
      </c>
      <c r="S68" s="0" t="n">
        <v>2</v>
      </c>
      <c r="T68" s="0" t="n">
        <v>2</v>
      </c>
      <c r="U68" s="0" t="n">
        <v>6</v>
      </c>
      <c r="V68" s="0" t="n">
        <v>24</v>
      </c>
      <c r="W68" s="0" t="n">
        <v>20</v>
      </c>
      <c r="X68" s="0" t="n">
        <v>0</v>
      </c>
      <c r="Y68" s="0" t="n">
        <v>14</v>
      </c>
      <c r="Z68" s="0" t="n">
        <v>30</v>
      </c>
      <c r="AA68" s="0" t="s">
        <v>135</v>
      </c>
      <c r="AB68" s="0" t="s">
        <v>172</v>
      </c>
      <c r="AC68" s="0" t="s">
        <v>143</v>
      </c>
      <c r="AD68" s="0" t="n">
        <v>7</v>
      </c>
      <c r="AE68" s="0" t="s">
        <v>249</v>
      </c>
      <c r="AF68" s="0" t="s">
        <v>140</v>
      </c>
      <c r="AG68" s="0" t="s">
        <v>160</v>
      </c>
      <c r="AH68" s="0" t="n">
        <v>2</v>
      </c>
      <c r="AI68" s="0" t="n">
        <v>19</v>
      </c>
      <c r="AJ68" s="0" t="s">
        <v>193</v>
      </c>
      <c r="AK68" s="0" t="s">
        <v>162</v>
      </c>
      <c r="AL68" s="0" t="n">
        <v>3</v>
      </c>
      <c r="AM68" s="0" t="s">
        <v>137</v>
      </c>
      <c r="AN68" s="0" t="s">
        <v>137</v>
      </c>
      <c r="AO68" s="0" t="n">
        <v>4</v>
      </c>
      <c r="AP68" s="0" t="n">
        <v>0</v>
      </c>
      <c r="AQ68" s="0" t="s">
        <v>237</v>
      </c>
      <c r="AR68" s="0" t="n">
        <v>1</v>
      </c>
      <c r="AS68" s="0" t="n">
        <v>1</v>
      </c>
      <c r="AT68" s="0" t="n">
        <v>0</v>
      </c>
      <c r="AU68" s="0" t="n">
        <v>8</v>
      </c>
      <c r="AV68" s="0" t="n">
        <v>3.84</v>
      </c>
      <c r="AW68" s="0" t="n">
        <v>92</v>
      </c>
      <c r="AX68" s="0" t="n">
        <v>99</v>
      </c>
      <c r="AY68" s="0" t="n">
        <v>4.39</v>
      </c>
      <c r="AZ68" s="0" t="n">
        <v>5</v>
      </c>
      <c r="BA68" s="0" t="s">
        <v>145</v>
      </c>
      <c r="BB68" s="0" t="s">
        <v>146</v>
      </c>
      <c r="BC68" s="0" t="s">
        <v>147</v>
      </c>
      <c r="BD68" s="0" t="s">
        <v>148</v>
      </c>
      <c r="BE68" s="0" t="s">
        <v>149</v>
      </c>
      <c r="BF68" s="31" t="n">
        <v>46096.4205265857</v>
      </c>
      <c r="BG68" s="0" t="s">
        <v>137</v>
      </c>
    </row>
    <row r="69" customFormat="false" ht="15" hidden="false" customHeight="false" outlineLevel="0" collapsed="false">
      <c r="A69" s="0" t="s">
        <v>515</v>
      </c>
      <c r="B69" s="0" t="s">
        <v>516</v>
      </c>
      <c r="C69" s="0" t="s">
        <v>517</v>
      </c>
      <c r="D69" s="0" t="s">
        <v>518</v>
      </c>
      <c r="E69" s="0" t="s">
        <v>22</v>
      </c>
      <c r="F69" s="0" t="s">
        <v>23</v>
      </c>
      <c r="G69" s="0" t="s">
        <v>129</v>
      </c>
      <c r="H69" s="31" t="n">
        <v>44311</v>
      </c>
      <c r="I69" s="0" t="n">
        <v>4</v>
      </c>
      <c r="J69" s="0" t="s">
        <v>130</v>
      </c>
      <c r="K69" s="0" t="s">
        <v>199</v>
      </c>
      <c r="L69" s="0" t="s">
        <v>519</v>
      </c>
      <c r="M69" s="0" t="s">
        <v>158</v>
      </c>
      <c r="N69" s="0" t="n">
        <v>1</v>
      </c>
      <c r="O69" s="0" t="s">
        <v>182</v>
      </c>
      <c r="P69" s="0" t="n">
        <v>2</v>
      </c>
      <c r="Q69" s="0" t="n">
        <v>2</v>
      </c>
      <c r="R69" s="0" t="n">
        <v>3</v>
      </c>
      <c r="S69" s="0" t="n">
        <v>2</v>
      </c>
      <c r="T69" s="0" t="n">
        <v>0</v>
      </c>
      <c r="U69" s="0" t="n">
        <v>5</v>
      </c>
      <c r="V69" s="0" t="n">
        <v>20</v>
      </c>
      <c r="W69" s="0" t="n">
        <v>20</v>
      </c>
      <c r="X69" s="0" t="n">
        <v>0</v>
      </c>
      <c r="Y69" s="0" t="n">
        <v>15</v>
      </c>
      <c r="Z69" s="0" t="n">
        <v>25</v>
      </c>
      <c r="AA69" s="0" t="s">
        <v>135</v>
      </c>
      <c r="AB69" s="0" t="s">
        <v>172</v>
      </c>
      <c r="AC69" s="0" t="s">
        <v>143</v>
      </c>
      <c r="AD69" s="0" t="n">
        <v>3</v>
      </c>
      <c r="AE69" s="0" t="s">
        <v>183</v>
      </c>
      <c r="AF69" s="0" t="s">
        <v>173</v>
      </c>
      <c r="AG69" s="0" t="s">
        <v>161</v>
      </c>
      <c r="AH69" s="0" t="n">
        <v>2</v>
      </c>
      <c r="AI69" s="0" t="n">
        <v>14</v>
      </c>
      <c r="AJ69" s="0" t="s">
        <v>193</v>
      </c>
      <c r="AK69" s="0" t="s">
        <v>142</v>
      </c>
      <c r="AL69" s="0" t="n">
        <v>3</v>
      </c>
      <c r="AM69" s="0" t="s">
        <v>137</v>
      </c>
      <c r="AN69" s="0" t="s">
        <v>137</v>
      </c>
      <c r="AO69" s="0" t="n">
        <v>6</v>
      </c>
      <c r="AP69" s="0" t="n">
        <v>5</v>
      </c>
      <c r="AQ69" s="0" t="s">
        <v>237</v>
      </c>
      <c r="AR69" s="0" t="n">
        <v>3</v>
      </c>
      <c r="AS69" s="0" t="n">
        <v>0</v>
      </c>
      <c r="AT69" s="0" t="n">
        <v>3</v>
      </c>
      <c r="AU69" s="0" t="n">
        <v>7</v>
      </c>
      <c r="AV69" s="0" t="n">
        <v>4.87</v>
      </c>
      <c r="AW69" s="0" t="n">
        <v>66</v>
      </c>
      <c r="AX69" s="0" t="n">
        <v>83</v>
      </c>
      <c r="AY69" s="0" t="n">
        <v>4.51</v>
      </c>
      <c r="AZ69" s="0" t="n">
        <v>16</v>
      </c>
      <c r="BA69" s="0" t="s">
        <v>145</v>
      </c>
      <c r="BB69" s="0" t="s">
        <v>146</v>
      </c>
      <c r="BC69" s="0" t="s">
        <v>147</v>
      </c>
      <c r="BD69" s="0" t="s">
        <v>148</v>
      </c>
      <c r="BE69" s="0" t="s">
        <v>149</v>
      </c>
      <c r="BF69" s="31" t="n">
        <v>46096.4205265857</v>
      </c>
      <c r="BG69" s="0" t="s">
        <v>137</v>
      </c>
    </row>
    <row r="70" customFormat="false" ht="15" hidden="false" customHeight="false" outlineLevel="0" collapsed="false">
      <c r="A70" s="0" t="s">
        <v>520</v>
      </c>
      <c r="B70" s="0" t="s">
        <v>521</v>
      </c>
      <c r="C70" s="0" t="s">
        <v>522</v>
      </c>
      <c r="D70" s="0" t="s">
        <v>523</v>
      </c>
      <c r="E70" s="0" t="s">
        <v>27</v>
      </c>
      <c r="F70" s="0" t="s">
        <v>33</v>
      </c>
      <c r="G70" s="0" t="s">
        <v>129</v>
      </c>
      <c r="H70" s="31" t="n">
        <v>42717</v>
      </c>
      <c r="I70" s="0" t="n">
        <v>1</v>
      </c>
      <c r="J70" s="0" t="s">
        <v>169</v>
      </c>
      <c r="K70" s="0" t="s">
        <v>131</v>
      </c>
      <c r="L70" s="0" t="s">
        <v>524</v>
      </c>
      <c r="M70" s="0" t="s">
        <v>158</v>
      </c>
      <c r="N70" s="0" t="n">
        <v>1</v>
      </c>
      <c r="O70" s="0" t="s">
        <v>182</v>
      </c>
      <c r="P70" s="0" t="n">
        <v>2</v>
      </c>
      <c r="Q70" s="0" t="n">
        <v>2</v>
      </c>
      <c r="R70" s="0" t="n">
        <v>4</v>
      </c>
      <c r="S70" s="0" t="n">
        <v>2</v>
      </c>
      <c r="T70" s="0" t="n">
        <v>0</v>
      </c>
      <c r="U70" s="0" t="n">
        <v>6</v>
      </c>
      <c r="V70" s="0" t="n">
        <v>24</v>
      </c>
      <c r="W70" s="0" t="n">
        <v>20</v>
      </c>
      <c r="X70" s="0" t="n">
        <v>0</v>
      </c>
      <c r="Y70" s="0" t="n">
        <v>14</v>
      </c>
      <c r="Z70" s="0" t="n">
        <v>30</v>
      </c>
      <c r="AA70" s="0" t="s">
        <v>135</v>
      </c>
      <c r="AB70" s="0" t="s">
        <v>136</v>
      </c>
      <c r="AC70" s="0" t="s">
        <v>137</v>
      </c>
      <c r="AD70" s="0" t="n">
        <v>4</v>
      </c>
      <c r="AE70" s="0" t="s">
        <v>138</v>
      </c>
      <c r="AF70" s="0" t="s">
        <v>139</v>
      </c>
      <c r="AG70" s="0" t="s">
        <v>209</v>
      </c>
      <c r="AH70" s="0" t="n">
        <v>1</v>
      </c>
      <c r="AI70" s="0" t="n">
        <v>7</v>
      </c>
      <c r="AJ70" s="0" t="s">
        <v>185</v>
      </c>
      <c r="AK70" s="0" t="s">
        <v>142</v>
      </c>
      <c r="AL70" s="0" t="n">
        <v>7</v>
      </c>
      <c r="AM70" s="0" t="s">
        <v>137</v>
      </c>
      <c r="AN70" s="0" t="s">
        <v>143</v>
      </c>
      <c r="AO70" s="0" t="n">
        <v>9</v>
      </c>
      <c r="AP70" s="0" t="n">
        <v>3</v>
      </c>
      <c r="AQ70" s="0" t="s">
        <v>175</v>
      </c>
      <c r="AR70" s="0" t="n">
        <v>2</v>
      </c>
      <c r="AS70" s="0" t="n">
        <v>3</v>
      </c>
      <c r="AT70" s="0" t="n">
        <v>1</v>
      </c>
      <c r="AU70" s="0" t="n">
        <v>5</v>
      </c>
      <c r="AV70" s="0" t="n">
        <v>4.41</v>
      </c>
      <c r="AW70" s="0" t="n">
        <v>92</v>
      </c>
      <c r="AX70" s="0" t="n">
        <v>87</v>
      </c>
      <c r="AY70" s="0" t="n">
        <v>4.38</v>
      </c>
      <c r="AZ70" s="0" t="n">
        <v>0</v>
      </c>
      <c r="BA70" s="0" t="s">
        <v>145</v>
      </c>
      <c r="BB70" s="0" t="s">
        <v>146</v>
      </c>
      <c r="BC70" s="0" t="s">
        <v>40</v>
      </c>
      <c r="BD70" s="0" t="s">
        <v>148</v>
      </c>
      <c r="BE70" s="0" t="s">
        <v>149</v>
      </c>
      <c r="BF70" s="31" t="n">
        <v>46096.4205265857</v>
      </c>
      <c r="BG70" s="0" t="s">
        <v>137</v>
      </c>
    </row>
    <row r="71" customFormat="false" ht="15" hidden="false" customHeight="false" outlineLevel="0" collapsed="false">
      <c r="A71" s="0" t="s">
        <v>525</v>
      </c>
      <c r="B71" s="0" t="s">
        <v>526</v>
      </c>
      <c r="C71" s="0" t="s">
        <v>527</v>
      </c>
      <c r="D71" s="0" t="s">
        <v>528</v>
      </c>
      <c r="E71" s="0" t="s">
        <v>32</v>
      </c>
      <c r="F71" s="0" t="s">
        <v>33</v>
      </c>
      <c r="G71" s="0" t="s">
        <v>129</v>
      </c>
      <c r="H71" s="31" t="n">
        <v>43210</v>
      </c>
      <c r="I71" s="0" t="n">
        <v>1</v>
      </c>
      <c r="J71" s="0" t="s">
        <v>169</v>
      </c>
      <c r="K71" s="0" t="s">
        <v>131</v>
      </c>
      <c r="L71" s="0" t="s">
        <v>529</v>
      </c>
      <c r="M71" s="0" t="s">
        <v>201</v>
      </c>
      <c r="N71" s="0" t="n">
        <v>1</v>
      </c>
      <c r="O71" s="0" t="s">
        <v>182</v>
      </c>
      <c r="P71" s="0" t="n">
        <v>4</v>
      </c>
      <c r="Q71" s="0" t="n">
        <v>2</v>
      </c>
      <c r="R71" s="0" t="n">
        <v>6</v>
      </c>
      <c r="S71" s="0" t="n">
        <v>0</v>
      </c>
      <c r="T71" s="0" t="n">
        <v>2</v>
      </c>
      <c r="U71" s="0" t="n">
        <v>8</v>
      </c>
      <c r="V71" s="0" t="n">
        <v>32</v>
      </c>
      <c r="W71" s="0" t="n">
        <v>20</v>
      </c>
      <c r="X71" s="0" t="n">
        <v>0</v>
      </c>
      <c r="Y71" s="0" t="n">
        <v>12</v>
      </c>
      <c r="Z71" s="0" t="n">
        <v>40</v>
      </c>
      <c r="AA71" s="0" t="s">
        <v>135</v>
      </c>
      <c r="AB71" s="0" t="s">
        <v>172</v>
      </c>
      <c r="AC71" s="0" t="s">
        <v>137</v>
      </c>
      <c r="AD71" s="0" t="n">
        <v>4</v>
      </c>
      <c r="AE71" s="0" t="s">
        <v>138</v>
      </c>
      <c r="AF71" s="0" t="s">
        <v>161</v>
      </c>
      <c r="AG71" s="0" t="s">
        <v>202</v>
      </c>
      <c r="AH71" s="0" t="n">
        <v>1</v>
      </c>
      <c r="AI71" s="0" t="n">
        <v>17</v>
      </c>
      <c r="AJ71" s="0" t="s">
        <v>141</v>
      </c>
      <c r="AK71" s="0" t="s">
        <v>142</v>
      </c>
      <c r="AL71" s="0" t="n">
        <v>3</v>
      </c>
      <c r="AM71" s="0" t="s">
        <v>143</v>
      </c>
      <c r="AN71" s="0" t="s">
        <v>137</v>
      </c>
      <c r="AO71" s="0" t="n">
        <v>2</v>
      </c>
      <c r="AP71" s="0" t="n">
        <v>3</v>
      </c>
      <c r="AQ71" s="0" t="s">
        <v>144</v>
      </c>
      <c r="AR71" s="0" t="n">
        <v>4</v>
      </c>
      <c r="AS71" s="0" t="n">
        <v>4</v>
      </c>
      <c r="AT71" s="0" t="n">
        <v>5</v>
      </c>
      <c r="AU71" s="0" t="n">
        <v>0</v>
      </c>
      <c r="AV71" s="0" t="n">
        <v>4.39</v>
      </c>
      <c r="AW71" s="0" t="n">
        <v>64</v>
      </c>
      <c r="AX71" s="0" t="n">
        <v>72</v>
      </c>
      <c r="AY71" s="0" t="n">
        <v>4</v>
      </c>
      <c r="AZ71" s="0" t="n">
        <v>12</v>
      </c>
      <c r="BA71" s="0" t="s">
        <v>163</v>
      </c>
      <c r="BB71" s="0" t="s">
        <v>146</v>
      </c>
      <c r="BC71" s="0" t="s">
        <v>186</v>
      </c>
      <c r="BD71" s="0" t="s">
        <v>148</v>
      </c>
      <c r="BE71" s="0" t="s">
        <v>149</v>
      </c>
      <c r="BF71" s="31" t="n">
        <v>46096.4205265972</v>
      </c>
      <c r="BG71" s="0" t="s">
        <v>143</v>
      </c>
    </row>
    <row r="72" customFormat="false" ht="15" hidden="false" customHeight="false" outlineLevel="0" collapsed="false">
      <c r="A72" s="0" t="s">
        <v>530</v>
      </c>
      <c r="B72" s="0" t="s">
        <v>531</v>
      </c>
      <c r="C72" s="0" t="s">
        <v>532</v>
      </c>
      <c r="D72" s="0" t="s">
        <v>533</v>
      </c>
      <c r="E72" s="0" t="s">
        <v>32</v>
      </c>
      <c r="F72" s="0" t="s">
        <v>28</v>
      </c>
      <c r="G72" s="0" t="s">
        <v>198</v>
      </c>
      <c r="H72" s="31" t="n">
        <v>42211</v>
      </c>
      <c r="I72" s="0" t="n">
        <v>13</v>
      </c>
      <c r="J72" s="0" t="s">
        <v>155</v>
      </c>
      <c r="K72" s="0" t="s">
        <v>199</v>
      </c>
      <c r="L72" s="0" t="s">
        <v>534</v>
      </c>
      <c r="M72" s="0" t="s">
        <v>133</v>
      </c>
      <c r="N72" s="0" t="n">
        <v>6</v>
      </c>
      <c r="O72" s="0" t="s">
        <v>171</v>
      </c>
      <c r="P72" s="0" t="n">
        <v>1</v>
      </c>
      <c r="Q72" s="0" t="n">
        <v>2</v>
      </c>
      <c r="R72" s="0" t="n">
        <v>6</v>
      </c>
      <c r="S72" s="0" t="n">
        <v>0</v>
      </c>
      <c r="T72" s="0" t="n">
        <v>1</v>
      </c>
      <c r="U72" s="0" t="n">
        <v>7</v>
      </c>
      <c r="V72" s="0" t="n">
        <v>28</v>
      </c>
      <c r="W72" s="0" t="n">
        <v>20</v>
      </c>
      <c r="X72" s="0" t="n">
        <v>0</v>
      </c>
      <c r="Y72" s="0" t="n">
        <v>13</v>
      </c>
      <c r="Z72" s="0" t="n">
        <v>35</v>
      </c>
      <c r="AA72" s="0" t="s">
        <v>135</v>
      </c>
      <c r="AB72" s="0" t="s">
        <v>172</v>
      </c>
      <c r="AC72" s="0" t="s">
        <v>143</v>
      </c>
      <c r="AD72" s="0" t="n">
        <v>3</v>
      </c>
      <c r="AE72" s="0" t="s">
        <v>159</v>
      </c>
      <c r="AF72" s="0" t="s">
        <v>202</v>
      </c>
      <c r="AG72" s="0" t="s">
        <v>184</v>
      </c>
      <c r="AH72" s="0" t="n">
        <v>1</v>
      </c>
      <c r="AI72" s="0" t="n">
        <v>20</v>
      </c>
      <c r="AJ72" s="0" t="s">
        <v>141</v>
      </c>
      <c r="AK72" s="0" t="s">
        <v>142</v>
      </c>
      <c r="AL72" s="0" t="n">
        <v>10</v>
      </c>
      <c r="AM72" s="0" t="s">
        <v>143</v>
      </c>
      <c r="AN72" s="0" t="s">
        <v>143</v>
      </c>
      <c r="AO72" s="0" t="n">
        <v>4</v>
      </c>
      <c r="AP72" s="0" t="n">
        <v>1</v>
      </c>
      <c r="AQ72" s="0" t="s">
        <v>144</v>
      </c>
      <c r="AR72" s="0" t="n">
        <v>5</v>
      </c>
      <c r="AS72" s="0" t="n">
        <v>1</v>
      </c>
      <c r="AT72" s="0" t="n">
        <v>2</v>
      </c>
      <c r="AU72" s="0" t="n">
        <v>0</v>
      </c>
      <c r="AV72" s="0" t="n">
        <v>4.06</v>
      </c>
      <c r="AW72" s="0" t="n">
        <v>88</v>
      </c>
      <c r="AX72" s="0" t="n">
        <v>84</v>
      </c>
      <c r="AY72" s="0" t="n">
        <v>4.13</v>
      </c>
      <c r="AZ72" s="0" t="n">
        <v>5</v>
      </c>
      <c r="BA72" s="0" t="s">
        <v>163</v>
      </c>
      <c r="BB72" s="0" t="s">
        <v>146</v>
      </c>
      <c r="BC72" s="0" t="s">
        <v>186</v>
      </c>
      <c r="BD72" s="0" t="s">
        <v>164</v>
      </c>
      <c r="BE72" s="0" t="s">
        <v>176</v>
      </c>
      <c r="BF72" s="31" t="n">
        <v>46096.4205265972</v>
      </c>
      <c r="BG72" s="0" t="s">
        <v>137</v>
      </c>
    </row>
    <row r="73" customFormat="false" ht="15" hidden="false" customHeight="false" outlineLevel="0" collapsed="false">
      <c r="A73" s="0" t="s">
        <v>535</v>
      </c>
      <c r="B73" s="0" t="s">
        <v>536</v>
      </c>
      <c r="C73" s="0" t="s">
        <v>537</v>
      </c>
      <c r="D73" s="0" t="s">
        <v>538</v>
      </c>
      <c r="E73" s="0" t="s">
        <v>22</v>
      </c>
      <c r="F73" s="0" t="s">
        <v>28</v>
      </c>
      <c r="G73" s="0" t="s">
        <v>154</v>
      </c>
      <c r="H73" s="31" t="n">
        <v>44772</v>
      </c>
      <c r="I73" s="0" t="n">
        <v>4</v>
      </c>
      <c r="J73" s="0" t="s">
        <v>220</v>
      </c>
      <c r="K73" s="0" t="s">
        <v>156</v>
      </c>
      <c r="L73" s="0" t="s">
        <v>539</v>
      </c>
      <c r="M73" s="0" t="s">
        <v>201</v>
      </c>
      <c r="N73" s="0" t="n">
        <v>6</v>
      </c>
      <c r="O73" s="0" t="s">
        <v>171</v>
      </c>
      <c r="P73" s="0" t="n">
        <v>1</v>
      </c>
      <c r="Q73" s="0" t="n">
        <v>5</v>
      </c>
      <c r="R73" s="0" t="n">
        <v>2</v>
      </c>
      <c r="S73" s="0" t="n">
        <v>3</v>
      </c>
      <c r="T73" s="0" t="n">
        <v>1</v>
      </c>
      <c r="U73" s="0" t="n">
        <v>6</v>
      </c>
      <c r="V73" s="0" t="n">
        <v>24</v>
      </c>
      <c r="W73" s="0" t="n">
        <v>20</v>
      </c>
      <c r="X73" s="0" t="n">
        <v>0</v>
      </c>
      <c r="Y73" s="0" t="n">
        <v>14</v>
      </c>
      <c r="Z73" s="0" t="n">
        <v>30</v>
      </c>
      <c r="AA73" s="0" t="s">
        <v>135</v>
      </c>
      <c r="AB73" s="0" t="s">
        <v>172</v>
      </c>
      <c r="AC73" s="0" t="s">
        <v>143</v>
      </c>
      <c r="AD73" s="0" t="n">
        <v>3</v>
      </c>
      <c r="AE73" s="0" t="s">
        <v>183</v>
      </c>
      <c r="AF73" s="0" t="s">
        <v>173</v>
      </c>
      <c r="AG73" s="0" t="s">
        <v>160</v>
      </c>
      <c r="AH73" s="0" t="n">
        <v>1</v>
      </c>
      <c r="AI73" s="0" t="n">
        <v>8</v>
      </c>
      <c r="AJ73" s="0" t="s">
        <v>250</v>
      </c>
      <c r="AK73" s="0" t="s">
        <v>162</v>
      </c>
      <c r="AL73" s="0" t="n">
        <v>9</v>
      </c>
      <c r="AM73" s="0" t="s">
        <v>143</v>
      </c>
      <c r="AN73" s="0" t="s">
        <v>143</v>
      </c>
      <c r="AO73" s="0" t="n">
        <v>1</v>
      </c>
      <c r="AP73" s="0" t="n">
        <v>7</v>
      </c>
      <c r="AQ73" s="0" t="s">
        <v>144</v>
      </c>
      <c r="AR73" s="0" t="n">
        <v>1</v>
      </c>
      <c r="AS73" s="0" t="n">
        <v>0</v>
      </c>
      <c r="AT73" s="0" t="n">
        <v>0</v>
      </c>
      <c r="AU73" s="0" t="n">
        <v>7</v>
      </c>
      <c r="AV73" s="0" t="n">
        <v>4.26</v>
      </c>
      <c r="AW73" s="0" t="n">
        <v>95</v>
      </c>
      <c r="AX73" s="0" t="n">
        <v>89</v>
      </c>
      <c r="AY73" s="0" t="n">
        <v>4.36</v>
      </c>
      <c r="AZ73" s="0" t="n">
        <v>14</v>
      </c>
      <c r="BA73" s="0" t="s">
        <v>163</v>
      </c>
      <c r="BB73" s="0" t="s">
        <v>146</v>
      </c>
      <c r="BC73" s="0" t="s">
        <v>186</v>
      </c>
      <c r="BD73" s="0" t="s">
        <v>148</v>
      </c>
      <c r="BE73" s="0" t="s">
        <v>176</v>
      </c>
      <c r="BF73" s="31" t="n">
        <v>46096.4205265972</v>
      </c>
      <c r="BG73" s="0" t="s">
        <v>143</v>
      </c>
    </row>
    <row r="74" customFormat="false" ht="15" hidden="false" customHeight="false" outlineLevel="0" collapsed="false">
      <c r="A74" s="0" t="s">
        <v>540</v>
      </c>
      <c r="B74" s="0" t="s">
        <v>541</v>
      </c>
      <c r="C74" s="0" t="s">
        <v>542</v>
      </c>
      <c r="D74" s="0" t="s">
        <v>543</v>
      </c>
      <c r="E74" s="0" t="s">
        <v>22</v>
      </c>
      <c r="F74" s="0" t="s">
        <v>33</v>
      </c>
      <c r="G74" s="0" t="s">
        <v>154</v>
      </c>
      <c r="H74" s="31" t="n">
        <v>42487</v>
      </c>
      <c r="I74" s="0" t="n">
        <v>5</v>
      </c>
      <c r="J74" s="0" t="s">
        <v>130</v>
      </c>
      <c r="K74" s="0" t="s">
        <v>156</v>
      </c>
      <c r="L74" s="0" t="s">
        <v>544</v>
      </c>
      <c r="M74" s="0" t="s">
        <v>133</v>
      </c>
      <c r="N74" s="0" t="n">
        <v>2</v>
      </c>
      <c r="O74" s="0" t="s">
        <v>134</v>
      </c>
      <c r="P74" s="0" t="n">
        <v>3</v>
      </c>
      <c r="Q74" s="0" t="n">
        <v>2</v>
      </c>
      <c r="R74" s="0" t="n">
        <v>5</v>
      </c>
      <c r="S74" s="0" t="n">
        <v>3</v>
      </c>
      <c r="T74" s="0" t="n">
        <v>0</v>
      </c>
      <c r="U74" s="0" t="n">
        <v>8</v>
      </c>
      <c r="V74" s="0" t="n">
        <v>32</v>
      </c>
      <c r="W74" s="0" t="n">
        <v>20</v>
      </c>
      <c r="X74" s="0" t="n">
        <v>0</v>
      </c>
      <c r="Y74" s="0" t="n">
        <v>12</v>
      </c>
      <c r="Z74" s="0" t="n">
        <v>40</v>
      </c>
      <c r="AA74" s="0" t="s">
        <v>135</v>
      </c>
      <c r="AB74" s="0" t="s">
        <v>172</v>
      </c>
      <c r="AC74" s="0" t="s">
        <v>137</v>
      </c>
      <c r="AD74" s="0" t="n">
        <v>10</v>
      </c>
      <c r="AE74" s="0" t="s">
        <v>249</v>
      </c>
      <c r="AF74" s="0" t="s">
        <v>202</v>
      </c>
      <c r="AG74" s="0" t="s">
        <v>307</v>
      </c>
      <c r="AH74" s="0" t="n">
        <v>2</v>
      </c>
      <c r="AI74" s="0" t="n">
        <v>10</v>
      </c>
      <c r="AJ74" s="0" t="s">
        <v>185</v>
      </c>
      <c r="AK74" s="0" t="s">
        <v>162</v>
      </c>
      <c r="AL74" s="0" t="n">
        <v>6</v>
      </c>
      <c r="AM74" s="0" t="s">
        <v>143</v>
      </c>
      <c r="AN74" s="0" t="s">
        <v>137</v>
      </c>
      <c r="AO74" s="0" t="n">
        <v>5</v>
      </c>
      <c r="AP74" s="0" t="n">
        <v>2</v>
      </c>
      <c r="AQ74" s="0" t="s">
        <v>175</v>
      </c>
      <c r="AR74" s="0" t="n">
        <v>2</v>
      </c>
      <c r="AS74" s="0" t="n">
        <v>1</v>
      </c>
      <c r="AT74" s="0" t="n">
        <v>4</v>
      </c>
      <c r="AU74" s="0" t="n">
        <v>7</v>
      </c>
      <c r="AV74" s="0" t="n">
        <v>4.25</v>
      </c>
      <c r="AW74" s="0" t="n">
        <v>69</v>
      </c>
      <c r="AX74" s="0" t="n">
        <v>71</v>
      </c>
      <c r="AY74" s="0" t="n">
        <v>3.9</v>
      </c>
      <c r="AZ74" s="0" t="n">
        <v>6</v>
      </c>
      <c r="BA74" s="0" t="s">
        <v>163</v>
      </c>
      <c r="BB74" s="0" t="s">
        <v>146</v>
      </c>
      <c r="BC74" s="0" t="s">
        <v>40</v>
      </c>
      <c r="BD74" s="0" t="s">
        <v>148</v>
      </c>
      <c r="BE74" s="0" t="s">
        <v>149</v>
      </c>
      <c r="BF74" s="31" t="n">
        <v>46096.4205265972</v>
      </c>
      <c r="BG74" s="0" t="s">
        <v>143</v>
      </c>
    </row>
    <row r="75" customFormat="false" ht="15" hidden="false" customHeight="false" outlineLevel="0" collapsed="false">
      <c r="A75" s="0" t="s">
        <v>545</v>
      </c>
      <c r="B75" s="0" t="s">
        <v>546</v>
      </c>
      <c r="C75" s="0" t="s">
        <v>547</v>
      </c>
      <c r="D75" s="0" t="s">
        <v>548</v>
      </c>
      <c r="E75" s="0" t="s">
        <v>22</v>
      </c>
      <c r="F75" s="0" t="s">
        <v>33</v>
      </c>
      <c r="G75" s="0" t="s">
        <v>129</v>
      </c>
      <c r="H75" s="31" t="n">
        <v>44592</v>
      </c>
      <c r="I75" s="0" t="n">
        <v>13</v>
      </c>
      <c r="J75" s="0" t="s">
        <v>130</v>
      </c>
      <c r="K75" s="0" t="s">
        <v>242</v>
      </c>
      <c r="L75" s="0" t="s">
        <v>549</v>
      </c>
      <c r="M75" s="0" t="s">
        <v>201</v>
      </c>
      <c r="N75" s="0" t="n">
        <v>1</v>
      </c>
      <c r="O75" s="0" t="s">
        <v>134</v>
      </c>
      <c r="P75" s="0" t="n">
        <v>2</v>
      </c>
      <c r="Q75" s="0" t="n">
        <v>3</v>
      </c>
      <c r="R75" s="0" t="n">
        <v>2</v>
      </c>
      <c r="S75" s="0" t="n">
        <v>1</v>
      </c>
      <c r="T75" s="0" t="n">
        <v>0</v>
      </c>
      <c r="U75" s="0" t="n">
        <v>3</v>
      </c>
      <c r="V75" s="0" t="n">
        <v>12</v>
      </c>
      <c r="W75" s="0" t="n">
        <v>20</v>
      </c>
      <c r="X75" s="0" t="n">
        <v>0</v>
      </c>
      <c r="Y75" s="0" t="n">
        <v>17</v>
      </c>
      <c r="Z75" s="0" t="n">
        <v>15</v>
      </c>
      <c r="AA75" s="0" t="s">
        <v>135</v>
      </c>
      <c r="AB75" s="0" t="s">
        <v>172</v>
      </c>
      <c r="AC75" s="0" t="s">
        <v>137</v>
      </c>
      <c r="AD75" s="0" t="n">
        <v>9</v>
      </c>
      <c r="AE75" s="0" t="s">
        <v>215</v>
      </c>
      <c r="AF75" s="0" t="s">
        <v>140</v>
      </c>
      <c r="AG75" s="0" t="s">
        <v>160</v>
      </c>
      <c r="AH75" s="0" t="n">
        <v>2</v>
      </c>
      <c r="AI75" s="0" t="n">
        <v>8</v>
      </c>
      <c r="AJ75" s="0" t="s">
        <v>193</v>
      </c>
      <c r="AK75" s="0" t="s">
        <v>142</v>
      </c>
      <c r="AL75" s="0" t="n">
        <v>1</v>
      </c>
      <c r="AM75" s="0" t="s">
        <v>143</v>
      </c>
      <c r="AN75" s="0" t="s">
        <v>137</v>
      </c>
      <c r="AO75" s="0" t="n">
        <v>1</v>
      </c>
      <c r="AP75" s="0" t="n">
        <v>5</v>
      </c>
      <c r="AQ75" s="0" t="s">
        <v>175</v>
      </c>
      <c r="AR75" s="0" t="n">
        <v>2</v>
      </c>
      <c r="AS75" s="0" t="n">
        <v>4</v>
      </c>
      <c r="AT75" s="0" t="n">
        <v>0</v>
      </c>
      <c r="AU75" s="0" t="n">
        <v>2</v>
      </c>
      <c r="AV75" s="0" t="n">
        <v>4.72</v>
      </c>
      <c r="AW75" s="0" t="n">
        <v>90</v>
      </c>
      <c r="AX75" s="0" t="n">
        <v>89</v>
      </c>
      <c r="AY75" s="0" t="n">
        <v>4.58</v>
      </c>
      <c r="AZ75" s="0" t="n">
        <v>19</v>
      </c>
      <c r="BA75" s="0" t="s">
        <v>145</v>
      </c>
      <c r="BB75" s="0" t="s">
        <v>146</v>
      </c>
      <c r="BC75" s="0" t="s">
        <v>186</v>
      </c>
      <c r="BD75" s="0" t="s">
        <v>148</v>
      </c>
      <c r="BE75" s="0" t="s">
        <v>176</v>
      </c>
      <c r="BF75" s="31" t="n">
        <v>46096.4205265972</v>
      </c>
      <c r="BG75" s="0" t="s">
        <v>137</v>
      </c>
    </row>
    <row r="76" customFormat="false" ht="15" hidden="false" customHeight="false" outlineLevel="0" collapsed="false">
      <c r="A76" s="0" t="s">
        <v>550</v>
      </c>
      <c r="B76" s="0" t="s">
        <v>551</v>
      </c>
      <c r="C76" s="0" t="s">
        <v>552</v>
      </c>
      <c r="D76" s="0" t="s">
        <v>553</v>
      </c>
      <c r="E76" s="0" t="s">
        <v>39</v>
      </c>
      <c r="F76" s="0" t="s">
        <v>28</v>
      </c>
      <c r="G76" s="0" t="s">
        <v>129</v>
      </c>
      <c r="H76" s="31" t="n">
        <v>42662</v>
      </c>
      <c r="I76" s="0" t="n">
        <v>4</v>
      </c>
      <c r="J76" s="0" t="s">
        <v>220</v>
      </c>
      <c r="K76" s="0" t="s">
        <v>199</v>
      </c>
      <c r="L76" s="0" t="s">
        <v>554</v>
      </c>
      <c r="M76" s="0" t="s">
        <v>201</v>
      </c>
      <c r="N76" s="0" t="n">
        <v>6</v>
      </c>
      <c r="O76" s="0" t="s">
        <v>134</v>
      </c>
      <c r="P76" s="0" t="n">
        <v>1</v>
      </c>
      <c r="Q76" s="0" t="n">
        <v>4</v>
      </c>
      <c r="R76" s="0" t="n">
        <v>6</v>
      </c>
      <c r="S76" s="0" t="n">
        <v>0</v>
      </c>
      <c r="T76" s="0" t="n">
        <v>2</v>
      </c>
      <c r="U76" s="0" t="n">
        <v>8</v>
      </c>
      <c r="V76" s="0" t="n">
        <v>32</v>
      </c>
      <c r="W76" s="0" t="n">
        <v>20</v>
      </c>
      <c r="X76" s="0" t="n">
        <v>0</v>
      </c>
      <c r="Y76" s="0" t="n">
        <v>12</v>
      </c>
      <c r="Z76" s="0" t="n">
        <v>40</v>
      </c>
      <c r="AA76" s="0" t="s">
        <v>135</v>
      </c>
      <c r="AB76" s="0" t="s">
        <v>136</v>
      </c>
      <c r="AC76" s="0" t="s">
        <v>137</v>
      </c>
      <c r="AD76" s="0" t="n">
        <v>3</v>
      </c>
      <c r="AE76" s="0" t="s">
        <v>138</v>
      </c>
      <c r="AF76" s="0" t="s">
        <v>161</v>
      </c>
      <c r="AG76" s="0" t="s">
        <v>184</v>
      </c>
      <c r="AH76" s="0" t="n">
        <v>2</v>
      </c>
      <c r="AI76" s="0" t="n">
        <v>7</v>
      </c>
      <c r="AJ76" s="0" t="s">
        <v>250</v>
      </c>
      <c r="AK76" s="0" t="s">
        <v>162</v>
      </c>
      <c r="AL76" s="0" t="n">
        <v>8</v>
      </c>
      <c r="AM76" s="0" t="s">
        <v>137</v>
      </c>
      <c r="AN76" s="0" t="s">
        <v>137</v>
      </c>
      <c r="AO76" s="0" t="n">
        <v>7</v>
      </c>
      <c r="AP76" s="0" t="n">
        <v>5</v>
      </c>
      <c r="AQ76" s="0" t="s">
        <v>237</v>
      </c>
      <c r="AR76" s="0" t="n">
        <v>1</v>
      </c>
      <c r="AS76" s="0" t="n">
        <v>2</v>
      </c>
      <c r="AT76" s="0" t="n">
        <v>4</v>
      </c>
      <c r="AU76" s="0" t="n">
        <v>5</v>
      </c>
      <c r="AV76" s="0" t="n">
        <v>4.3</v>
      </c>
      <c r="AW76" s="0" t="n">
        <v>80</v>
      </c>
      <c r="AX76" s="0" t="n">
        <v>73</v>
      </c>
      <c r="AY76" s="0" t="n">
        <v>3.97</v>
      </c>
      <c r="AZ76" s="0" t="n">
        <v>5</v>
      </c>
      <c r="BA76" s="0" t="s">
        <v>145</v>
      </c>
      <c r="BB76" s="0" t="s">
        <v>146</v>
      </c>
      <c r="BC76" s="0" t="s">
        <v>186</v>
      </c>
      <c r="BD76" s="0" t="s">
        <v>164</v>
      </c>
      <c r="BE76" s="0" t="s">
        <v>176</v>
      </c>
      <c r="BF76" s="31" t="n">
        <v>46096.4205265972</v>
      </c>
      <c r="BG76" s="0" t="s">
        <v>143</v>
      </c>
    </row>
    <row r="77" customFormat="false" ht="15" hidden="false" customHeight="false" outlineLevel="0" collapsed="false">
      <c r="A77" s="0" t="s">
        <v>555</v>
      </c>
      <c r="B77" s="0" t="s">
        <v>556</v>
      </c>
      <c r="C77" s="0" t="s">
        <v>557</v>
      </c>
      <c r="D77" s="0" t="s">
        <v>558</v>
      </c>
      <c r="E77" s="0" t="s">
        <v>27</v>
      </c>
      <c r="F77" s="0" t="s">
        <v>28</v>
      </c>
      <c r="G77" s="0" t="s">
        <v>129</v>
      </c>
      <c r="H77" s="31" t="n">
        <v>42147</v>
      </c>
      <c r="I77" s="0" t="n">
        <v>6</v>
      </c>
      <c r="J77" s="0" t="s">
        <v>220</v>
      </c>
      <c r="K77" s="0" t="s">
        <v>199</v>
      </c>
      <c r="L77" s="0" t="s">
        <v>214</v>
      </c>
      <c r="M77" s="0" t="s">
        <v>158</v>
      </c>
      <c r="N77" s="0" t="n">
        <v>2</v>
      </c>
      <c r="O77" s="0" t="s">
        <v>171</v>
      </c>
      <c r="P77" s="0" t="n">
        <v>3</v>
      </c>
      <c r="Q77" s="0" t="n">
        <v>2</v>
      </c>
      <c r="R77" s="0" t="n">
        <v>3</v>
      </c>
      <c r="S77" s="0" t="n">
        <v>2</v>
      </c>
      <c r="T77" s="0" t="n">
        <v>1</v>
      </c>
      <c r="U77" s="0" t="n">
        <v>6</v>
      </c>
      <c r="V77" s="0" t="n">
        <v>24</v>
      </c>
      <c r="W77" s="0" t="n">
        <v>20</v>
      </c>
      <c r="X77" s="0" t="n">
        <v>0</v>
      </c>
      <c r="Y77" s="0" t="n">
        <v>14</v>
      </c>
      <c r="Z77" s="0" t="n">
        <v>30</v>
      </c>
      <c r="AA77" s="0" t="s">
        <v>135</v>
      </c>
      <c r="AB77" s="0" t="s">
        <v>136</v>
      </c>
      <c r="AC77" s="0" t="s">
        <v>143</v>
      </c>
      <c r="AD77" s="0" t="n">
        <v>3</v>
      </c>
      <c r="AE77" s="0" t="s">
        <v>215</v>
      </c>
      <c r="AF77" s="0" t="s">
        <v>161</v>
      </c>
      <c r="AG77" s="0" t="s">
        <v>184</v>
      </c>
      <c r="AH77" s="0" t="n">
        <v>2</v>
      </c>
      <c r="AI77" s="0" t="n">
        <v>20</v>
      </c>
      <c r="AJ77" s="0" t="s">
        <v>185</v>
      </c>
      <c r="AK77" s="0" t="s">
        <v>162</v>
      </c>
      <c r="AL77" s="0" t="n">
        <v>1</v>
      </c>
      <c r="AM77" s="0" t="s">
        <v>143</v>
      </c>
      <c r="AN77" s="0" t="s">
        <v>137</v>
      </c>
      <c r="AO77" s="0" t="n">
        <v>3</v>
      </c>
      <c r="AP77" s="0" t="n">
        <v>7</v>
      </c>
      <c r="AQ77" s="0" t="s">
        <v>175</v>
      </c>
      <c r="AR77" s="0" t="n">
        <v>2</v>
      </c>
      <c r="AS77" s="0" t="n">
        <v>2</v>
      </c>
      <c r="AT77" s="0" t="n">
        <v>1</v>
      </c>
      <c r="AU77" s="0" t="n">
        <v>0</v>
      </c>
      <c r="AV77" s="0" t="n">
        <v>3.88</v>
      </c>
      <c r="AW77" s="0" t="n">
        <v>96</v>
      </c>
      <c r="AX77" s="0" t="n">
        <v>94</v>
      </c>
      <c r="AY77" s="0" t="n">
        <v>4.29</v>
      </c>
      <c r="AZ77" s="0" t="n">
        <v>3</v>
      </c>
      <c r="BA77" s="0" t="s">
        <v>145</v>
      </c>
      <c r="BB77" s="0" t="s">
        <v>146</v>
      </c>
      <c r="BC77" s="0" t="s">
        <v>40</v>
      </c>
      <c r="BD77" s="0" t="s">
        <v>164</v>
      </c>
      <c r="BE77" s="0" t="s">
        <v>149</v>
      </c>
      <c r="BF77" s="31" t="n">
        <v>46096.4205265972</v>
      </c>
      <c r="BG77" s="0" t="s">
        <v>143</v>
      </c>
    </row>
    <row r="78" customFormat="false" ht="15" hidden="false" customHeight="false" outlineLevel="0" collapsed="false">
      <c r="A78" s="0" t="s">
        <v>559</v>
      </c>
      <c r="B78" s="0" t="s">
        <v>560</v>
      </c>
      <c r="C78" s="0" t="s">
        <v>561</v>
      </c>
      <c r="D78" s="0" t="s">
        <v>562</v>
      </c>
      <c r="E78" s="0" t="s">
        <v>22</v>
      </c>
      <c r="F78" s="0" t="s">
        <v>23</v>
      </c>
      <c r="G78" s="0" t="s">
        <v>154</v>
      </c>
      <c r="H78" s="31" t="n">
        <v>42819</v>
      </c>
      <c r="I78" s="0" t="n">
        <v>19</v>
      </c>
      <c r="J78" s="0" t="s">
        <v>155</v>
      </c>
      <c r="K78" s="0" t="s">
        <v>131</v>
      </c>
      <c r="L78" s="0" t="s">
        <v>563</v>
      </c>
      <c r="M78" s="0" t="s">
        <v>133</v>
      </c>
      <c r="N78" s="0" t="n">
        <v>4</v>
      </c>
      <c r="O78" s="0" t="s">
        <v>171</v>
      </c>
      <c r="P78" s="0" t="n">
        <v>2</v>
      </c>
      <c r="Q78" s="0" t="n">
        <v>4</v>
      </c>
      <c r="R78" s="0" t="n">
        <v>5</v>
      </c>
      <c r="S78" s="0" t="n">
        <v>2</v>
      </c>
      <c r="T78" s="0" t="n">
        <v>1</v>
      </c>
      <c r="U78" s="0" t="n">
        <v>8</v>
      </c>
      <c r="V78" s="0" t="n">
        <v>32</v>
      </c>
      <c r="W78" s="0" t="n">
        <v>20</v>
      </c>
      <c r="X78" s="0" t="n">
        <v>0</v>
      </c>
      <c r="Y78" s="0" t="n">
        <v>12</v>
      </c>
      <c r="Z78" s="0" t="n">
        <v>40</v>
      </c>
      <c r="AA78" s="0" t="s">
        <v>135</v>
      </c>
      <c r="AB78" s="0" t="s">
        <v>136</v>
      </c>
      <c r="AC78" s="0" t="s">
        <v>137</v>
      </c>
      <c r="AD78" s="0" t="n">
        <v>7</v>
      </c>
      <c r="AE78" s="0" t="s">
        <v>138</v>
      </c>
      <c r="AF78" s="0" t="s">
        <v>202</v>
      </c>
      <c r="AG78" s="0" t="s">
        <v>307</v>
      </c>
      <c r="AH78" s="0" t="n">
        <v>2</v>
      </c>
      <c r="AI78" s="0" t="n">
        <v>9</v>
      </c>
      <c r="AJ78" s="0" t="s">
        <v>193</v>
      </c>
      <c r="AK78" s="0" t="s">
        <v>162</v>
      </c>
      <c r="AL78" s="0" t="n">
        <v>9</v>
      </c>
      <c r="AM78" s="0" t="s">
        <v>143</v>
      </c>
      <c r="AN78" s="0" t="s">
        <v>143</v>
      </c>
      <c r="AO78" s="0" t="n">
        <v>4</v>
      </c>
      <c r="AP78" s="0" t="n">
        <v>7</v>
      </c>
      <c r="AQ78" s="0" t="s">
        <v>144</v>
      </c>
      <c r="AR78" s="0" t="n">
        <v>4</v>
      </c>
      <c r="AS78" s="0" t="n">
        <v>4</v>
      </c>
      <c r="AT78" s="0" t="n">
        <v>5</v>
      </c>
      <c r="AU78" s="0" t="n">
        <v>8</v>
      </c>
      <c r="AV78" s="0" t="n">
        <v>3.63</v>
      </c>
      <c r="AW78" s="0" t="n">
        <v>86</v>
      </c>
      <c r="AX78" s="0" t="n">
        <v>73</v>
      </c>
      <c r="AY78" s="0" t="n">
        <v>3.64</v>
      </c>
      <c r="AZ78" s="0" t="n">
        <v>12</v>
      </c>
      <c r="BA78" s="0" t="s">
        <v>145</v>
      </c>
      <c r="BB78" s="0" t="s">
        <v>146</v>
      </c>
      <c r="BC78" s="0" t="s">
        <v>147</v>
      </c>
      <c r="BD78" s="0" t="s">
        <v>148</v>
      </c>
      <c r="BE78" s="0" t="s">
        <v>176</v>
      </c>
      <c r="BF78" s="31" t="n">
        <v>46096.4205265972</v>
      </c>
      <c r="BG78" s="0" t="s">
        <v>143</v>
      </c>
    </row>
    <row r="79" customFormat="false" ht="15" hidden="false" customHeight="false" outlineLevel="0" collapsed="false">
      <c r="A79" s="0" t="s">
        <v>564</v>
      </c>
      <c r="B79" s="0" t="s">
        <v>565</v>
      </c>
      <c r="C79" s="0" t="s">
        <v>566</v>
      </c>
      <c r="D79" s="0" t="s">
        <v>567</v>
      </c>
      <c r="E79" s="0" t="s">
        <v>37</v>
      </c>
      <c r="F79" s="0" t="s">
        <v>28</v>
      </c>
      <c r="G79" s="0" t="s">
        <v>154</v>
      </c>
      <c r="H79" s="31" t="n">
        <v>44838</v>
      </c>
      <c r="I79" s="0" t="n">
        <v>4</v>
      </c>
      <c r="J79" s="0" t="s">
        <v>155</v>
      </c>
      <c r="K79" s="0" t="s">
        <v>242</v>
      </c>
      <c r="L79" s="0" t="s">
        <v>568</v>
      </c>
      <c r="M79" s="0" t="s">
        <v>133</v>
      </c>
      <c r="N79" s="0" t="n">
        <v>6</v>
      </c>
      <c r="O79" s="0" t="s">
        <v>134</v>
      </c>
      <c r="P79" s="0" t="n">
        <v>4</v>
      </c>
      <c r="Q79" s="0" t="n">
        <v>4</v>
      </c>
      <c r="R79" s="0" t="n">
        <v>2</v>
      </c>
      <c r="S79" s="0" t="n">
        <v>2</v>
      </c>
      <c r="T79" s="0" t="n">
        <v>1</v>
      </c>
      <c r="U79" s="0" t="n">
        <v>5</v>
      </c>
      <c r="V79" s="0" t="n">
        <v>20</v>
      </c>
      <c r="W79" s="0" t="n">
        <v>20</v>
      </c>
      <c r="X79" s="0" t="n">
        <v>0</v>
      </c>
      <c r="Y79" s="0" t="n">
        <v>15</v>
      </c>
      <c r="Z79" s="0" t="n">
        <v>25</v>
      </c>
      <c r="AA79" s="0" t="s">
        <v>135</v>
      </c>
      <c r="AB79" s="0" t="s">
        <v>172</v>
      </c>
      <c r="AC79" s="0" t="s">
        <v>137</v>
      </c>
      <c r="AD79" s="0" t="n">
        <v>3</v>
      </c>
      <c r="AE79" s="0" t="s">
        <v>159</v>
      </c>
      <c r="AF79" s="0" t="s">
        <v>140</v>
      </c>
      <c r="AG79" s="0" t="s">
        <v>173</v>
      </c>
      <c r="AH79" s="0" t="n">
        <v>1</v>
      </c>
      <c r="AI79" s="0" t="n">
        <v>10</v>
      </c>
      <c r="AJ79" s="0" t="s">
        <v>250</v>
      </c>
      <c r="AK79" s="0" t="s">
        <v>142</v>
      </c>
      <c r="AL79" s="0" t="n">
        <v>9</v>
      </c>
      <c r="AM79" s="0" t="s">
        <v>143</v>
      </c>
      <c r="AN79" s="0" t="s">
        <v>137</v>
      </c>
      <c r="AO79" s="0" t="n">
        <v>3</v>
      </c>
      <c r="AP79" s="0" t="n">
        <v>1</v>
      </c>
      <c r="AQ79" s="0" t="s">
        <v>203</v>
      </c>
      <c r="AR79" s="0" t="n">
        <v>5</v>
      </c>
      <c r="AS79" s="0" t="n">
        <v>1</v>
      </c>
      <c r="AT79" s="0" t="n">
        <v>3</v>
      </c>
      <c r="AU79" s="0" t="n">
        <v>4</v>
      </c>
      <c r="AV79" s="0" t="n">
        <v>4.53</v>
      </c>
      <c r="AW79" s="0" t="n">
        <v>83</v>
      </c>
      <c r="AX79" s="0" t="n">
        <v>70</v>
      </c>
      <c r="AY79" s="0" t="n">
        <v>4.02</v>
      </c>
      <c r="AZ79" s="0" t="n">
        <v>5</v>
      </c>
      <c r="BA79" s="0" t="s">
        <v>145</v>
      </c>
      <c r="BB79" s="0" t="s">
        <v>146</v>
      </c>
      <c r="BC79" s="0" t="s">
        <v>147</v>
      </c>
      <c r="BD79" s="0" t="s">
        <v>164</v>
      </c>
      <c r="BE79" s="0" t="s">
        <v>176</v>
      </c>
      <c r="BF79" s="31" t="n">
        <v>46096.4205265972</v>
      </c>
      <c r="BG79" s="0" t="s">
        <v>137</v>
      </c>
    </row>
    <row r="80" customFormat="false" ht="15" hidden="false" customHeight="false" outlineLevel="0" collapsed="false">
      <c r="A80" s="0" t="s">
        <v>569</v>
      </c>
      <c r="B80" s="0" t="s">
        <v>570</v>
      </c>
      <c r="C80" s="0" t="s">
        <v>571</v>
      </c>
      <c r="D80" s="0" t="s">
        <v>572</v>
      </c>
      <c r="E80" s="0" t="s">
        <v>22</v>
      </c>
      <c r="F80" s="0" t="s">
        <v>28</v>
      </c>
      <c r="G80" s="0" t="s">
        <v>154</v>
      </c>
      <c r="H80" s="31" t="n">
        <v>44259</v>
      </c>
      <c r="I80" s="0" t="n">
        <v>7</v>
      </c>
      <c r="J80" s="0" t="s">
        <v>155</v>
      </c>
      <c r="K80" s="0" t="s">
        <v>156</v>
      </c>
      <c r="L80" s="0" t="s">
        <v>573</v>
      </c>
      <c r="M80" s="0" t="s">
        <v>201</v>
      </c>
      <c r="N80" s="0" t="n">
        <v>2</v>
      </c>
      <c r="O80" s="0" t="s">
        <v>171</v>
      </c>
      <c r="P80" s="0" t="n">
        <v>3</v>
      </c>
      <c r="Q80" s="0" t="n">
        <v>5</v>
      </c>
      <c r="R80" s="0" t="n">
        <v>4</v>
      </c>
      <c r="S80" s="0" t="n">
        <v>1</v>
      </c>
      <c r="T80" s="0" t="n">
        <v>1</v>
      </c>
      <c r="U80" s="0" t="n">
        <v>6</v>
      </c>
      <c r="V80" s="0" t="n">
        <v>24</v>
      </c>
      <c r="W80" s="0" t="n">
        <v>20</v>
      </c>
      <c r="X80" s="0" t="n">
        <v>0</v>
      </c>
      <c r="Y80" s="0" t="n">
        <v>14</v>
      </c>
      <c r="Z80" s="0" t="n">
        <v>30</v>
      </c>
      <c r="AA80" s="0" t="s">
        <v>135</v>
      </c>
      <c r="AB80" s="0" t="s">
        <v>172</v>
      </c>
      <c r="AC80" s="0" t="s">
        <v>143</v>
      </c>
      <c r="AD80" s="0" t="n">
        <v>7</v>
      </c>
      <c r="AE80" s="0" t="s">
        <v>215</v>
      </c>
      <c r="AF80" s="0" t="s">
        <v>161</v>
      </c>
      <c r="AG80" s="0" t="s">
        <v>202</v>
      </c>
      <c r="AH80" s="0" t="n">
        <v>1</v>
      </c>
      <c r="AI80" s="0" t="n">
        <v>13</v>
      </c>
      <c r="AJ80" s="0" t="s">
        <v>174</v>
      </c>
      <c r="AK80" s="0" t="s">
        <v>142</v>
      </c>
      <c r="AL80" s="0" t="n">
        <v>5</v>
      </c>
      <c r="AM80" s="0" t="s">
        <v>143</v>
      </c>
      <c r="AN80" s="0" t="s">
        <v>137</v>
      </c>
      <c r="AO80" s="0" t="n">
        <v>0</v>
      </c>
      <c r="AP80" s="0" t="n">
        <v>1</v>
      </c>
      <c r="AQ80" s="0" t="s">
        <v>144</v>
      </c>
      <c r="AR80" s="0" t="n">
        <v>1</v>
      </c>
      <c r="AS80" s="0" t="n">
        <v>3</v>
      </c>
      <c r="AT80" s="0" t="n">
        <v>5</v>
      </c>
      <c r="AU80" s="0" t="n">
        <v>4</v>
      </c>
      <c r="AV80" s="0" t="n">
        <v>4.88</v>
      </c>
      <c r="AW80" s="0" t="n">
        <v>85</v>
      </c>
      <c r="AX80" s="0" t="n">
        <v>88</v>
      </c>
      <c r="AY80" s="0" t="n">
        <v>4.64</v>
      </c>
      <c r="AZ80" s="0" t="n">
        <v>11</v>
      </c>
      <c r="BA80" s="0" t="s">
        <v>145</v>
      </c>
      <c r="BB80" s="0" t="s">
        <v>146</v>
      </c>
      <c r="BC80" s="0" t="s">
        <v>40</v>
      </c>
      <c r="BD80" s="0" t="s">
        <v>148</v>
      </c>
      <c r="BE80" s="0" t="s">
        <v>176</v>
      </c>
      <c r="BF80" s="31" t="n">
        <v>46096.4205265972</v>
      </c>
      <c r="BG80" s="0" t="s">
        <v>143</v>
      </c>
    </row>
    <row r="81" customFormat="false" ht="15" hidden="false" customHeight="false" outlineLevel="0" collapsed="false">
      <c r="A81" s="0" t="s">
        <v>574</v>
      </c>
      <c r="B81" s="0" t="s">
        <v>575</v>
      </c>
      <c r="C81" s="0" t="s">
        <v>576</v>
      </c>
      <c r="D81" s="0" t="s">
        <v>577</v>
      </c>
      <c r="E81" s="0" t="s">
        <v>39</v>
      </c>
      <c r="F81" s="0" t="s">
        <v>33</v>
      </c>
      <c r="G81" s="0" t="s">
        <v>129</v>
      </c>
      <c r="H81" s="31" t="n">
        <v>43411</v>
      </c>
      <c r="I81" s="0" t="n">
        <v>4</v>
      </c>
      <c r="J81" s="0" t="s">
        <v>155</v>
      </c>
      <c r="K81" s="0" t="s">
        <v>242</v>
      </c>
      <c r="L81" s="0" t="s">
        <v>578</v>
      </c>
      <c r="M81" s="0" t="s">
        <v>201</v>
      </c>
      <c r="N81" s="0" t="n">
        <v>4</v>
      </c>
      <c r="O81" s="0" t="s">
        <v>182</v>
      </c>
      <c r="P81" s="0" t="n">
        <v>1</v>
      </c>
      <c r="Q81" s="0" t="n">
        <v>5</v>
      </c>
      <c r="R81" s="0" t="n">
        <v>4</v>
      </c>
      <c r="S81" s="0" t="n">
        <v>3</v>
      </c>
      <c r="T81" s="0" t="n">
        <v>2</v>
      </c>
      <c r="U81" s="0" t="n">
        <v>9</v>
      </c>
      <c r="V81" s="0" t="n">
        <v>36</v>
      </c>
      <c r="W81" s="0" t="n">
        <v>20</v>
      </c>
      <c r="X81" s="0" t="n">
        <v>0</v>
      </c>
      <c r="Y81" s="0" t="n">
        <v>11</v>
      </c>
      <c r="Z81" s="0" t="n">
        <v>45</v>
      </c>
      <c r="AA81" s="0" t="s">
        <v>135</v>
      </c>
      <c r="AB81" s="0" t="s">
        <v>136</v>
      </c>
      <c r="AC81" s="0" t="s">
        <v>137</v>
      </c>
      <c r="AD81" s="0" t="n">
        <v>7</v>
      </c>
      <c r="AE81" s="0" t="s">
        <v>183</v>
      </c>
      <c r="AF81" s="0" t="s">
        <v>161</v>
      </c>
      <c r="AG81" s="0" t="s">
        <v>184</v>
      </c>
      <c r="AH81" s="0" t="n">
        <v>2</v>
      </c>
      <c r="AI81" s="0" t="n">
        <v>16</v>
      </c>
      <c r="AJ81" s="0" t="s">
        <v>141</v>
      </c>
      <c r="AK81" s="0" t="s">
        <v>142</v>
      </c>
      <c r="AL81" s="0" t="n">
        <v>4</v>
      </c>
      <c r="AM81" s="0" t="s">
        <v>143</v>
      </c>
      <c r="AN81" s="0" t="s">
        <v>143</v>
      </c>
      <c r="AO81" s="0" t="n">
        <v>0</v>
      </c>
      <c r="AP81" s="0" t="n">
        <v>3</v>
      </c>
      <c r="AQ81" s="0" t="s">
        <v>175</v>
      </c>
      <c r="AR81" s="0" t="n">
        <v>2</v>
      </c>
      <c r="AS81" s="0" t="n">
        <v>2</v>
      </c>
      <c r="AT81" s="0" t="n">
        <v>0</v>
      </c>
      <c r="AU81" s="0" t="n">
        <v>8</v>
      </c>
      <c r="AV81" s="0" t="n">
        <v>3.24</v>
      </c>
      <c r="AW81" s="0" t="n">
        <v>88</v>
      </c>
      <c r="AX81" s="0" t="n">
        <v>83</v>
      </c>
      <c r="AY81" s="0" t="n">
        <v>3.7</v>
      </c>
      <c r="AZ81" s="0" t="n">
        <v>3</v>
      </c>
      <c r="BA81" s="0" t="s">
        <v>163</v>
      </c>
      <c r="BB81" s="0" t="s">
        <v>146</v>
      </c>
      <c r="BC81" s="0" t="s">
        <v>186</v>
      </c>
      <c r="BD81" s="0" t="s">
        <v>148</v>
      </c>
      <c r="BE81" s="0" t="s">
        <v>176</v>
      </c>
      <c r="BF81" s="31" t="n">
        <v>46096.4205265972</v>
      </c>
      <c r="BG81" s="0" t="s">
        <v>143</v>
      </c>
    </row>
    <row r="82" customFormat="false" ht="15" hidden="false" customHeight="false" outlineLevel="0" collapsed="false">
      <c r="A82" s="0" t="s">
        <v>579</v>
      </c>
      <c r="B82" s="0" t="s">
        <v>580</v>
      </c>
      <c r="C82" s="0" t="s">
        <v>581</v>
      </c>
      <c r="D82" s="0" t="s">
        <v>582</v>
      </c>
      <c r="E82" s="0" t="s">
        <v>37</v>
      </c>
      <c r="F82" s="0" t="s">
        <v>28</v>
      </c>
      <c r="G82" s="0" t="s">
        <v>154</v>
      </c>
      <c r="H82" s="31" t="n">
        <v>44460</v>
      </c>
      <c r="I82" s="0" t="n">
        <v>8</v>
      </c>
      <c r="J82" s="0" t="s">
        <v>169</v>
      </c>
      <c r="K82" s="0" t="s">
        <v>191</v>
      </c>
      <c r="L82" s="0" t="s">
        <v>583</v>
      </c>
      <c r="M82" s="0" t="s">
        <v>158</v>
      </c>
      <c r="N82" s="0" t="n">
        <v>4</v>
      </c>
      <c r="O82" s="0" t="s">
        <v>134</v>
      </c>
      <c r="P82" s="0" t="n">
        <v>4</v>
      </c>
      <c r="Q82" s="0" t="n">
        <v>4</v>
      </c>
      <c r="R82" s="0" t="n">
        <v>3</v>
      </c>
      <c r="S82" s="0" t="n">
        <v>1</v>
      </c>
      <c r="T82" s="0" t="n">
        <v>2</v>
      </c>
      <c r="U82" s="0" t="n">
        <v>6</v>
      </c>
      <c r="V82" s="0" t="n">
        <v>24</v>
      </c>
      <c r="W82" s="0" t="n">
        <v>20</v>
      </c>
      <c r="X82" s="0" t="n">
        <v>0</v>
      </c>
      <c r="Y82" s="0" t="n">
        <v>14</v>
      </c>
      <c r="Z82" s="0" t="n">
        <v>30</v>
      </c>
      <c r="AA82" s="0" t="s">
        <v>135</v>
      </c>
      <c r="AB82" s="0" t="s">
        <v>136</v>
      </c>
      <c r="AC82" s="0" t="s">
        <v>143</v>
      </c>
      <c r="AD82" s="0" t="n">
        <v>10</v>
      </c>
      <c r="AE82" s="0" t="s">
        <v>249</v>
      </c>
      <c r="AF82" s="0" t="s">
        <v>161</v>
      </c>
      <c r="AG82" s="0" t="s">
        <v>184</v>
      </c>
      <c r="AH82" s="0" t="n">
        <v>2</v>
      </c>
      <c r="AI82" s="0" t="n">
        <v>19</v>
      </c>
      <c r="AJ82" s="0" t="s">
        <v>141</v>
      </c>
      <c r="AK82" s="0" t="s">
        <v>162</v>
      </c>
      <c r="AL82" s="0" t="n">
        <v>7</v>
      </c>
      <c r="AM82" s="0" t="s">
        <v>137</v>
      </c>
      <c r="AN82" s="0" t="s">
        <v>137</v>
      </c>
      <c r="AO82" s="0" t="n">
        <v>2</v>
      </c>
      <c r="AP82" s="0" t="n">
        <v>2</v>
      </c>
      <c r="AQ82" s="0" t="s">
        <v>144</v>
      </c>
      <c r="AR82" s="0" t="n">
        <v>5</v>
      </c>
      <c r="AS82" s="0" t="n">
        <v>0</v>
      </c>
      <c r="AT82" s="0" t="n">
        <v>5</v>
      </c>
      <c r="AU82" s="0" t="n">
        <v>4</v>
      </c>
      <c r="AV82" s="0" t="n">
        <v>3.18</v>
      </c>
      <c r="AW82" s="0" t="n">
        <v>69</v>
      </c>
      <c r="AX82" s="0" t="n">
        <v>100</v>
      </c>
      <c r="AY82" s="0" t="n">
        <v>4.09</v>
      </c>
      <c r="AZ82" s="0" t="n">
        <v>11</v>
      </c>
      <c r="BA82" s="0" t="s">
        <v>145</v>
      </c>
      <c r="BB82" s="0" t="s">
        <v>146</v>
      </c>
      <c r="BC82" s="0" t="s">
        <v>40</v>
      </c>
      <c r="BD82" s="0" t="s">
        <v>164</v>
      </c>
      <c r="BE82" s="0" t="s">
        <v>149</v>
      </c>
      <c r="BF82" s="31" t="n">
        <v>46096.4205265972</v>
      </c>
      <c r="BG82" s="0" t="s">
        <v>143</v>
      </c>
    </row>
    <row r="83" customFormat="false" ht="15" hidden="false" customHeight="false" outlineLevel="0" collapsed="false">
      <c r="A83" s="0" t="s">
        <v>584</v>
      </c>
      <c r="B83" s="0" t="s">
        <v>585</v>
      </c>
      <c r="C83" s="0" t="s">
        <v>586</v>
      </c>
      <c r="D83" s="0" t="s">
        <v>587</v>
      </c>
      <c r="E83" s="0" t="s">
        <v>39</v>
      </c>
      <c r="F83" s="0" t="s">
        <v>33</v>
      </c>
      <c r="G83" s="0" t="s">
        <v>154</v>
      </c>
      <c r="H83" s="31" t="n">
        <v>43380</v>
      </c>
      <c r="I83" s="0" t="n">
        <v>14</v>
      </c>
      <c r="J83" s="0" t="s">
        <v>169</v>
      </c>
      <c r="K83" s="0" t="s">
        <v>199</v>
      </c>
      <c r="L83" s="0" t="s">
        <v>444</v>
      </c>
      <c r="M83" s="0" t="s">
        <v>133</v>
      </c>
      <c r="N83" s="0" t="n">
        <v>3</v>
      </c>
      <c r="O83" s="0" t="s">
        <v>171</v>
      </c>
      <c r="P83" s="0" t="n">
        <v>3</v>
      </c>
      <c r="Q83" s="0" t="n">
        <v>3</v>
      </c>
      <c r="R83" s="0" t="n">
        <v>3</v>
      </c>
      <c r="S83" s="0" t="n">
        <v>1</v>
      </c>
      <c r="T83" s="0" t="n">
        <v>1</v>
      </c>
      <c r="U83" s="0" t="n">
        <v>5</v>
      </c>
      <c r="V83" s="0" t="n">
        <v>20</v>
      </c>
      <c r="W83" s="0" t="n">
        <v>20</v>
      </c>
      <c r="X83" s="0" t="n">
        <v>0</v>
      </c>
      <c r="Y83" s="0" t="n">
        <v>15</v>
      </c>
      <c r="Z83" s="0" t="n">
        <v>25</v>
      </c>
      <c r="AA83" s="0" t="s">
        <v>135</v>
      </c>
      <c r="AB83" s="0" t="s">
        <v>172</v>
      </c>
      <c r="AC83" s="0" t="s">
        <v>143</v>
      </c>
      <c r="AD83" s="0" t="n">
        <v>9</v>
      </c>
      <c r="AE83" s="0" t="s">
        <v>138</v>
      </c>
      <c r="AF83" s="0" t="s">
        <v>140</v>
      </c>
      <c r="AG83" s="0" t="s">
        <v>160</v>
      </c>
      <c r="AH83" s="0" t="n">
        <v>2</v>
      </c>
      <c r="AI83" s="0" t="n">
        <v>15</v>
      </c>
      <c r="AJ83" s="0" t="s">
        <v>185</v>
      </c>
      <c r="AK83" s="0" t="s">
        <v>142</v>
      </c>
      <c r="AL83" s="0" t="n">
        <v>6</v>
      </c>
      <c r="AM83" s="0" t="s">
        <v>143</v>
      </c>
      <c r="AN83" s="0" t="s">
        <v>143</v>
      </c>
      <c r="AO83" s="0" t="n">
        <v>2</v>
      </c>
      <c r="AP83" s="0" t="n">
        <v>1</v>
      </c>
      <c r="AQ83" s="0" t="s">
        <v>203</v>
      </c>
      <c r="AR83" s="0" t="n">
        <v>5</v>
      </c>
      <c r="AS83" s="0" t="n">
        <v>2</v>
      </c>
      <c r="AT83" s="0" t="n">
        <v>3</v>
      </c>
      <c r="AU83" s="0" t="n">
        <v>7</v>
      </c>
      <c r="AV83" s="0" t="n">
        <v>3.43</v>
      </c>
      <c r="AW83" s="0" t="n">
        <v>99</v>
      </c>
      <c r="AX83" s="0" t="n">
        <v>89</v>
      </c>
      <c r="AY83" s="0" t="n">
        <v>3.94</v>
      </c>
      <c r="AZ83" s="0" t="n">
        <v>7</v>
      </c>
      <c r="BA83" s="0" t="s">
        <v>145</v>
      </c>
      <c r="BB83" s="0" t="s">
        <v>146</v>
      </c>
      <c r="BC83" s="0" t="s">
        <v>40</v>
      </c>
      <c r="BD83" s="0" t="s">
        <v>148</v>
      </c>
      <c r="BE83" s="0" t="s">
        <v>149</v>
      </c>
      <c r="BF83" s="31" t="n">
        <v>46096.4205265972</v>
      </c>
      <c r="BG83" s="0" t="s">
        <v>143</v>
      </c>
    </row>
    <row r="84" customFormat="false" ht="15" hidden="false" customHeight="false" outlineLevel="0" collapsed="false">
      <c r="A84" s="0" t="s">
        <v>588</v>
      </c>
      <c r="B84" s="0" t="s">
        <v>589</v>
      </c>
      <c r="C84" s="0" t="s">
        <v>590</v>
      </c>
      <c r="D84" s="0" t="s">
        <v>591</v>
      </c>
      <c r="E84" s="0" t="s">
        <v>32</v>
      </c>
      <c r="F84" s="0" t="s">
        <v>23</v>
      </c>
      <c r="G84" s="0" t="s">
        <v>129</v>
      </c>
      <c r="H84" s="31" t="n">
        <v>44485</v>
      </c>
      <c r="I84" s="0" t="n">
        <v>6</v>
      </c>
      <c r="J84" s="0" t="s">
        <v>169</v>
      </c>
      <c r="K84" s="0" t="s">
        <v>131</v>
      </c>
      <c r="L84" s="0" t="s">
        <v>592</v>
      </c>
      <c r="M84" s="0" t="s">
        <v>158</v>
      </c>
      <c r="N84" s="0" t="n">
        <v>4</v>
      </c>
      <c r="O84" s="0" t="s">
        <v>134</v>
      </c>
      <c r="P84" s="0" t="n">
        <v>1</v>
      </c>
      <c r="Q84" s="0" t="n">
        <v>2</v>
      </c>
      <c r="R84" s="0" t="n">
        <v>5</v>
      </c>
      <c r="S84" s="0" t="n">
        <v>3</v>
      </c>
      <c r="T84" s="0" t="n">
        <v>2</v>
      </c>
      <c r="U84" s="0" t="n">
        <v>10</v>
      </c>
      <c r="V84" s="0" t="n">
        <v>40</v>
      </c>
      <c r="W84" s="0" t="n">
        <v>20</v>
      </c>
      <c r="X84" s="0" t="n">
        <v>0</v>
      </c>
      <c r="Y84" s="0" t="n">
        <v>10</v>
      </c>
      <c r="Z84" s="0" t="n">
        <v>50</v>
      </c>
      <c r="AA84" s="0" t="s">
        <v>135</v>
      </c>
      <c r="AB84" s="0" t="s">
        <v>172</v>
      </c>
      <c r="AC84" s="0" t="s">
        <v>137</v>
      </c>
      <c r="AD84" s="0" t="n">
        <v>5</v>
      </c>
      <c r="AE84" s="0" t="s">
        <v>159</v>
      </c>
      <c r="AF84" s="0" t="s">
        <v>139</v>
      </c>
      <c r="AG84" s="0" t="s">
        <v>140</v>
      </c>
      <c r="AH84" s="0" t="n">
        <v>2</v>
      </c>
      <c r="AI84" s="0" t="n">
        <v>15</v>
      </c>
      <c r="AJ84" s="0" t="s">
        <v>193</v>
      </c>
      <c r="AK84" s="0" t="s">
        <v>142</v>
      </c>
      <c r="AL84" s="0" t="n">
        <v>1</v>
      </c>
      <c r="AM84" s="0" t="s">
        <v>137</v>
      </c>
      <c r="AN84" s="0" t="s">
        <v>137</v>
      </c>
      <c r="AO84" s="0" t="n">
        <v>5</v>
      </c>
      <c r="AP84" s="0" t="n">
        <v>2</v>
      </c>
      <c r="AQ84" s="0" t="s">
        <v>144</v>
      </c>
      <c r="AR84" s="0" t="n">
        <v>5</v>
      </c>
      <c r="AS84" s="0" t="n">
        <v>3</v>
      </c>
      <c r="AT84" s="0" t="n">
        <v>3</v>
      </c>
      <c r="AU84" s="0" t="n">
        <v>5</v>
      </c>
      <c r="AV84" s="0" t="n">
        <v>4.92</v>
      </c>
      <c r="AW84" s="0" t="n">
        <v>83</v>
      </c>
      <c r="AX84" s="0" t="n">
        <v>83</v>
      </c>
      <c r="AY84" s="0" t="n">
        <v>4.54</v>
      </c>
      <c r="AZ84" s="0" t="n">
        <v>10</v>
      </c>
      <c r="BA84" s="0" t="s">
        <v>163</v>
      </c>
      <c r="BB84" s="0" t="s">
        <v>146</v>
      </c>
      <c r="BC84" s="0" t="s">
        <v>40</v>
      </c>
      <c r="BD84" s="0" t="s">
        <v>148</v>
      </c>
      <c r="BE84" s="0" t="s">
        <v>149</v>
      </c>
      <c r="BF84" s="31" t="n">
        <v>46096.4205265972</v>
      </c>
      <c r="BG84" s="0" t="s">
        <v>143</v>
      </c>
    </row>
    <row r="85" customFormat="false" ht="15" hidden="false" customHeight="false" outlineLevel="0" collapsed="false">
      <c r="A85" s="0" t="s">
        <v>593</v>
      </c>
      <c r="B85" s="0" t="s">
        <v>594</v>
      </c>
      <c r="C85" s="0" t="s">
        <v>595</v>
      </c>
      <c r="D85" s="0" t="s">
        <v>596</v>
      </c>
      <c r="E85" s="0" t="s">
        <v>22</v>
      </c>
      <c r="F85" s="0" t="s">
        <v>23</v>
      </c>
      <c r="G85" s="0" t="s">
        <v>198</v>
      </c>
      <c r="H85" s="31" t="n">
        <v>43999</v>
      </c>
      <c r="I85" s="0" t="n">
        <v>9</v>
      </c>
      <c r="J85" s="0" t="s">
        <v>169</v>
      </c>
      <c r="K85" s="0" t="s">
        <v>191</v>
      </c>
      <c r="L85" s="0" t="s">
        <v>597</v>
      </c>
      <c r="M85" s="0" t="s">
        <v>158</v>
      </c>
      <c r="N85" s="0" t="n">
        <v>2</v>
      </c>
      <c r="O85" s="0" t="s">
        <v>182</v>
      </c>
      <c r="P85" s="0" t="n">
        <v>1</v>
      </c>
      <c r="Q85" s="0" t="n">
        <v>2</v>
      </c>
      <c r="R85" s="0" t="n">
        <v>4</v>
      </c>
      <c r="S85" s="0" t="n">
        <v>1</v>
      </c>
      <c r="T85" s="0" t="n">
        <v>2</v>
      </c>
      <c r="U85" s="0" t="n">
        <v>7</v>
      </c>
      <c r="V85" s="0" t="n">
        <v>28</v>
      </c>
      <c r="W85" s="0" t="n">
        <v>20</v>
      </c>
      <c r="X85" s="0" t="n">
        <v>0</v>
      </c>
      <c r="Y85" s="0" t="n">
        <v>13</v>
      </c>
      <c r="Z85" s="0" t="n">
        <v>35</v>
      </c>
      <c r="AA85" s="0" t="s">
        <v>135</v>
      </c>
      <c r="AB85" s="0" t="s">
        <v>172</v>
      </c>
      <c r="AC85" s="0" t="s">
        <v>143</v>
      </c>
      <c r="AD85" s="0" t="n">
        <v>8</v>
      </c>
      <c r="AE85" s="0" t="s">
        <v>215</v>
      </c>
      <c r="AF85" s="0" t="s">
        <v>139</v>
      </c>
      <c r="AG85" s="0" t="s">
        <v>140</v>
      </c>
      <c r="AH85" s="0" t="n">
        <v>2</v>
      </c>
      <c r="AI85" s="0" t="n">
        <v>14</v>
      </c>
      <c r="AJ85" s="0" t="s">
        <v>141</v>
      </c>
      <c r="AK85" s="0" t="s">
        <v>142</v>
      </c>
      <c r="AL85" s="0" t="n">
        <v>7</v>
      </c>
      <c r="AM85" s="0" t="s">
        <v>137</v>
      </c>
      <c r="AN85" s="0" t="s">
        <v>143</v>
      </c>
      <c r="AO85" s="0" t="n">
        <v>5</v>
      </c>
      <c r="AP85" s="0" t="n">
        <v>2</v>
      </c>
      <c r="AQ85" s="0" t="s">
        <v>203</v>
      </c>
      <c r="AR85" s="0" t="n">
        <v>3</v>
      </c>
      <c r="AS85" s="0" t="n">
        <v>3</v>
      </c>
      <c r="AT85" s="0" t="n">
        <v>0</v>
      </c>
      <c r="AU85" s="0" t="n">
        <v>7</v>
      </c>
      <c r="AV85" s="0" t="n">
        <v>4.37</v>
      </c>
      <c r="AW85" s="0" t="n">
        <v>68</v>
      </c>
      <c r="AX85" s="0" t="n">
        <v>84</v>
      </c>
      <c r="AY85" s="0" t="n">
        <v>4.29</v>
      </c>
      <c r="AZ85" s="0" t="n">
        <v>20</v>
      </c>
      <c r="BA85" s="0" t="s">
        <v>145</v>
      </c>
      <c r="BB85" s="0" t="s">
        <v>146</v>
      </c>
      <c r="BC85" s="0" t="s">
        <v>40</v>
      </c>
      <c r="BD85" s="0" t="s">
        <v>164</v>
      </c>
      <c r="BE85" s="0" t="s">
        <v>149</v>
      </c>
      <c r="BF85" s="31" t="n">
        <v>46096.4205265972</v>
      </c>
      <c r="BG85" s="0" t="s">
        <v>143</v>
      </c>
    </row>
    <row r="86" customFormat="false" ht="15" hidden="false" customHeight="false" outlineLevel="0" collapsed="false">
      <c r="A86" s="0" t="s">
        <v>598</v>
      </c>
      <c r="B86" s="0" t="s">
        <v>599</v>
      </c>
      <c r="C86" s="0" t="s">
        <v>600</v>
      </c>
      <c r="D86" s="0" t="s">
        <v>601</v>
      </c>
      <c r="E86" s="0" t="s">
        <v>27</v>
      </c>
      <c r="F86" s="0" t="s">
        <v>23</v>
      </c>
      <c r="G86" s="0" t="s">
        <v>129</v>
      </c>
      <c r="H86" s="31" t="n">
        <v>43111</v>
      </c>
      <c r="I86" s="0" t="n">
        <v>1</v>
      </c>
      <c r="J86" s="0" t="s">
        <v>155</v>
      </c>
      <c r="K86" s="0" t="s">
        <v>199</v>
      </c>
      <c r="L86" s="0" t="s">
        <v>602</v>
      </c>
      <c r="M86" s="0" t="s">
        <v>201</v>
      </c>
      <c r="N86" s="0" t="n">
        <v>4</v>
      </c>
      <c r="O86" s="0" t="s">
        <v>182</v>
      </c>
      <c r="P86" s="0" t="n">
        <v>2</v>
      </c>
      <c r="Q86" s="0" t="n">
        <v>4</v>
      </c>
      <c r="R86" s="0" t="n">
        <v>3</v>
      </c>
      <c r="S86" s="0" t="n">
        <v>2</v>
      </c>
      <c r="T86" s="0" t="n">
        <v>2</v>
      </c>
      <c r="U86" s="0" t="n">
        <v>7</v>
      </c>
      <c r="V86" s="0" t="n">
        <v>28</v>
      </c>
      <c r="W86" s="0" t="n">
        <v>20</v>
      </c>
      <c r="X86" s="0" t="n">
        <v>0</v>
      </c>
      <c r="Y86" s="0" t="n">
        <v>13</v>
      </c>
      <c r="Z86" s="0" t="n">
        <v>35</v>
      </c>
      <c r="AA86" s="0" t="s">
        <v>135</v>
      </c>
      <c r="AB86" s="0" t="s">
        <v>172</v>
      </c>
      <c r="AC86" s="0" t="s">
        <v>137</v>
      </c>
      <c r="AD86" s="0" t="n">
        <v>3</v>
      </c>
      <c r="AE86" s="0" t="s">
        <v>215</v>
      </c>
      <c r="AF86" s="0" t="s">
        <v>140</v>
      </c>
      <c r="AG86" s="0" t="s">
        <v>173</v>
      </c>
      <c r="AH86" s="0" t="n">
        <v>1</v>
      </c>
      <c r="AI86" s="0" t="n">
        <v>5</v>
      </c>
      <c r="AJ86" s="0" t="s">
        <v>185</v>
      </c>
      <c r="AK86" s="0" t="s">
        <v>142</v>
      </c>
      <c r="AL86" s="0" t="n">
        <v>5</v>
      </c>
      <c r="AM86" s="0" t="s">
        <v>143</v>
      </c>
      <c r="AN86" s="0" t="s">
        <v>143</v>
      </c>
      <c r="AO86" s="0" t="n">
        <v>6</v>
      </c>
      <c r="AP86" s="0" t="n">
        <v>1</v>
      </c>
      <c r="AQ86" s="0" t="s">
        <v>203</v>
      </c>
      <c r="AR86" s="0" t="n">
        <v>0</v>
      </c>
      <c r="AS86" s="0" t="n">
        <v>5</v>
      </c>
      <c r="AT86" s="0" t="n">
        <v>1</v>
      </c>
      <c r="AU86" s="0" t="n">
        <v>1</v>
      </c>
      <c r="AV86" s="0" t="n">
        <v>4.17</v>
      </c>
      <c r="AW86" s="0" t="n">
        <v>61</v>
      </c>
      <c r="AX86" s="0" t="n">
        <v>75</v>
      </c>
      <c r="AY86" s="0" t="n">
        <v>3.96</v>
      </c>
      <c r="AZ86" s="0" t="n">
        <v>2</v>
      </c>
      <c r="BA86" s="0" t="s">
        <v>145</v>
      </c>
      <c r="BB86" s="0" t="s">
        <v>146</v>
      </c>
      <c r="BC86" s="0" t="s">
        <v>147</v>
      </c>
      <c r="BD86" s="0" t="s">
        <v>164</v>
      </c>
      <c r="BE86" s="0" t="s">
        <v>176</v>
      </c>
      <c r="BF86" s="31" t="n">
        <v>46096.4205265972</v>
      </c>
      <c r="BG86" s="0" t="s">
        <v>137</v>
      </c>
    </row>
    <row r="87" customFormat="false" ht="15" hidden="false" customHeight="false" outlineLevel="0" collapsed="false">
      <c r="A87" s="0" t="s">
        <v>603</v>
      </c>
      <c r="B87" s="0" t="s">
        <v>604</v>
      </c>
      <c r="C87" s="0" t="s">
        <v>605</v>
      </c>
      <c r="D87" s="0" t="s">
        <v>606</v>
      </c>
      <c r="E87" s="0" t="s">
        <v>27</v>
      </c>
      <c r="F87" s="0" t="s">
        <v>28</v>
      </c>
      <c r="G87" s="0" t="s">
        <v>154</v>
      </c>
      <c r="H87" s="31" t="n">
        <v>42943</v>
      </c>
      <c r="I87" s="0" t="n">
        <v>14</v>
      </c>
      <c r="J87" s="0" t="s">
        <v>169</v>
      </c>
      <c r="K87" s="0" t="s">
        <v>131</v>
      </c>
      <c r="L87" s="0" t="s">
        <v>607</v>
      </c>
      <c r="M87" s="0" t="s">
        <v>133</v>
      </c>
      <c r="N87" s="0" t="n">
        <v>6</v>
      </c>
      <c r="O87" s="0" t="s">
        <v>171</v>
      </c>
      <c r="P87" s="0" t="n">
        <v>2</v>
      </c>
      <c r="Q87" s="0" t="n">
        <v>3</v>
      </c>
      <c r="R87" s="0" t="n">
        <v>6</v>
      </c>
      <c r="S87" s="0" t="n">
        <v>1</v>
      </c>
      <c r="T87" s="0" t="n">
        <v>1</v>
      </c>
      <c r="U87" s="0" t="n">
        <v>8</v>
      </c>
      <c r="V87" s="0" t="n">
        <v>32</v>
      </c>
      <c r="W87" s="0" t="n">
        <v>20</v>
      </c>
      <c r="X87" s="0" t="n">
        <v>0</v>
      </c>
      <c r="Y87" s="0" t="n">
        <v>12</v>
      </c>
      <c r="Z87" s="0" t="n">
        <v>40</v>
      </c>
      <c r="AA87" s="0" t="s">
        <v>135</v>
      </c>
      <c r="AB87" s="0" t="s">
        <v>136</v>
      </c>
      <c r="AC87" s="0" t="s">
        <v>137</v>
      </c>
      <c r="AD87" s="0" t="n">
        <v>6</v>
      </c>
      <c r="AE87" s="0" t="s">
        <v>138</v>
      </c>
      <c r="AF87" s="0" t="s">
        <v>209</v>
      </c>
      <c r="AG87" s="0" t="s">
        <v>140</v>
      </c>
      <c r="AH87" s="0" t="n">
        <v>1</v>
      </c>
      <c r="AI87" s="0" t="n">
        <v>9</v>
      </c>
      <c r="AJ87" s="0" t="s">
        <v>174</v>
      </c>
      <c r="AK87" s="0" t="s">
        <v>142</v>
      </c>
      <c r="AL87" s="0" t="n">
        <v>4</v>
      </c>
      <c r="AM87" s="0" t="s">
        <v>143</v>
      </c>
      <c r="AN87" s="0" t="s">
        <v>143</v>
      </c>
      <c r="AO87" s="0" t="n">
        <v>0</v>
      </c>
      <c r="AP87" s="0" t="n">
        <v>3</v>
      </c>
      <c r="AQ87" s="0" t="s">
        <v>175</v>
      </c>
      <c r="AR87" s="0" t="n">
        <v>0</v>
      </c>
      <c r="AS87" s="0" t="n">
        <v>5</v>
      </c>
      <c r="AT87" s="0" t="n">
        <v>1</v>
      </c>
      <c r="AU87" s="0" t="n">
        <v>8</v>
      </c>
      <c r="AV87" s="0" t="n">
        <v>3.24</v>
      </c>
      <c r="AW87" s="0" t="n">
        <v>64</v>
      </c>
      <c r="AX87" s="0" t="n">
        <v>78</v>
      </c>
      <c r="AY87" s="0" t="n">
        <v>3.57</v>
      </c>
      <c r="AZ87" s="0" t="n">
        <v>17</v>
      </c>
      <c r="BA87" s="0" t="s">
        <v>163</v>
      </c>
      <c r="BB87" s="0" t="s">
        <v>146</v>
      </c>
      <c r="BC87" s="0" t="s">
        <v>40</v>
      </c>
      <c r="BD87" s="0" t="s">
        <v>148</v>
      </c>
      <c r="BE87" s="0" t="s">
        <v>149</v>
      </c>
      <c r="BF87" s="31" t="n">
        <v>46096.4205265972</v>
      </c>
      <c r="BG87" s="0" t="s">
        <v>143</v>
      </c>
    </row>
    <row r="88" customFormat="false" ht="15" hidden="false" customHeight="false" outlineLevel="0" collapsed="false">
      <c r="A88" s="0" t="s">
        <v>608</v>
      </c>
      <c r="B88" s="0" t="s">
        <v>609</v>
      </c>
      <c r="C88" s="0" t="s">
        <v>610</v>
      </c>
      <c r="D88" s="0" t="s">
        <v>611</v>
      </c>
      <c r="E88" s="0" t="s">
        <v>39</v>
      </c>
      <c r="F88" s="0" t="s">
        <v>33</v>
      </c>
      <c r="G88" s="0" t="s">
        <v>198</v>
      </c>
      <c r="H88" s="31" t="n">
        <v>44283</v>
      </c>
      <c r="I88" s="0" t="n">
        <v>2</v>
      </c>
      <c r="J88" s="0" t="s">
        <v>155</v>
      </c>
      <c r="K88" s="0" t="s">
        <v>242</v>
      </c>
      <c r="L88" s="0" t="s">
        <v>612</v>
      </c>
      <c r="M88" s="0" t="s">
        <v>201</v>
      </c>
      <c r="N88" s="0" t="n">
        <v>3</v>
      </c>
      <c r="O88" s="0" t="s">
        <v>134</v>
      </c>
      <c r="P88" s="0" t="n">
        <v>2</v>
      </c>
      <c r="Q88" s="0" t="n">
        <v>5</v>
      </c>
      <c r="R88" s="0" t="n">
        <v>4</v>
      </c>
      <c r="S88" s="0" t="n">
        <v>1</v>
      </c>
      <c r="T88" s="0" t="n">
        <v>0</v>
      </c>
      <c r="U88" s="0" t="n">
        <v>5</v>
      </c>
      <c r="V88" s="0" t="n">
        <v>20</v>
      </c>
      <c r="W88" s="0" t="n">
        <v>20</v>
      </c>
      <c r="X88" s="0" t="n">
        <v>0</v>
      </c>
      <c r="Y88" s="0" t="n">
        <v>15</v>
      </c>
      <c r="Z88" s="0" t="n">
        <v>25</v>
      </c>
      <c r="AA88" s="0" t="s">
        <v>135</v>
      </c>
      <c r="AB88" s="0" t="s">
        <v>172</v>
      </c>
      <c r="AC88" s="0" t="s">
        <v>137</v>
      </c>
      <c r="AD88" s="0" t="n">
        <v>7</v>
      </c>
      <c r="AE88" s="0" t="s">
        <v>215</v>
      </c>
      <c r="AF88" s="0" t="s">
        <v>202</v>
      </c>
      <c r="AG88" s="0" t="s">
        <v>184</v>
      </c>
      <c r="AH88" s="0" t="n">
        <v>1</v>
      </c>
      <c r="AI88" s="0" t="n">
        <v>9</v>
      </c>
      <c r="AJ88" s="0" t="s">
        <v>141</v>
      </c>
      <c r="AK88" s="0" t="s">
        <v>142</v>
      </c>
      <c r="AL88" s="0" t="n">
        <v>2</v>
      </c>
      <c r="AM88" s="0" t="s">
        <v>143</v>
      </c>
      <c r="AN88" s="0" t="s">
        <v>137</v>
      </c>
      <c r="AO88" s="0" t="n">
        <v>4</v>
      </c>
      <c r="AP88" s="0" t="n">
        <v>3</v>
      </c>
      <c r="AQ88" s="0" t="s">
        <v>175</v>
      </c>
      <c r="AR88" s="0" t="n">
        <v>0</v>
      </c>
      <c r="AS88" s="0" t="n">
        <v>4</v>
      </c>
      <c r="AT88" s="0" t="n">
        <v>3</v>
      </c>
      <c r="AU88" s="0" t="n">
        <v>8</v>
      </c>
      <c r="AV88" s="0" t="n">
        <v>4.64</v>
      </c>
      <c r="AW88" s="0" t="n">
        <v>82</v>
      </c>
      <c r="AX88" s="0" t="n">
        <v>72</v>
      </c>
      <c r="AY88" s="0" t="n">
        <v>4.12</v>
      </c>
      <c r="AZ88" s="0" t="n">
        <v>15</v>
      </c>
      <c r="BA88" s="0" t="s">
        <v>145</v>
      </c>
      <c r="BB88" s="0" t="s">
        <v>146</v>
      </c>
      <c r="BC88" s="0" t="s">
        <v>186</v>
      </c>
      <c r="BD88" s="0" t="s">
        <v>148</v>
      </c>
      <c r="BE88" s="0" t="s">
        <v>176</v>
      </c>
      <c r="BF88" s="31" t="n">
        <v>46096.4205265972</v>
      </c>
      <c r="BG88" s="0" t="s">
        <v>137</v>
      </c>
    </row>
    <row r="89" customFormat="false" ht="15" hidden="false" customHeight="false" outlineLevel="0" collapsed="false">
      <c r="A89" s="0" t="s">
        <v>613</v>
      </c>
      <c r="B89" s="0" t="s">
        <v>614</v>
      </c>
      <c r="C89" s="0" t="s">
        <v>615</v>
      </c>
      <c r="D89" s="0" t="s">
        <v>616</v>
      </c>
      <c r="E89" s="0" t="s">
        <v>22</v>
      </c>
      <c r="F89" s="0" t="s">
        <v>28</v>
      </c>
      <c r="G89" s="0" t="s">
        <v>198</v>
      </c>
      <c r="H89" s="31" t="n">
        <v>44757</v>
      </c>
      <c r="I89" s="0" t="n">
        <v>13</v>
      </c>
      <c r="J89" s="0" t="s">
        <v>130</v>
      </c>
      <c r="K89" s="0" t="s">
        <v>131</v>
      </c>
      <c r="L89" s="0" t="s">
        <v>617</v>
      </c>
      <c r="M89" s="0" t="s">
        <v>133</v>
      </c>
      <c r="N89" s="0" t="n">
        <v>4</v>
      </c>
      <c r="O89" s="0" t="s">
        <v>182</v>
      </c>
      <c r="P89" s="0" t="n">
        <v>3</v>
      </c>
      <c r="Q89" s="0" t="n">
        <v>4</v>
      </c>
      <c r="R89" s="0" t="n">
        <v>5</v>
      </c>
      <c r="S89" s="0" t="n">
        <v>2</v>
      </c>
      <c r="T89" s="0" t="n">
        <v>1</v>
      </c>
      <c r="U89" s="0" t="n">
        <v>8</v>
      </c>
      <c r="V89" s="0" t="n">
        <v>32</v>
      </c>
      <c r="W89" s="0" t="n">
        <v>20</v>
      </c>
      <c r="X89" s="0" t="n">
        <v>0</v>
      </c>
      <c r="Y89" s="0" t="n">
        <v>12</v>
      </c>
      <c r="Z89" s="0" t="n">
        <v>40</v>
      </c>
      <c r="AA89" s="0" t="s">
        <v>135</v>
      </c>
      <c r="AB89" s="0" t="s">
        <v>172</v>
      </c>
      <c r="AC89" s="0" t="s">
        <v>143</v>
      </c>
      <c r="AD89" s="0" t="n">
        <v>10</v>
      </c>
      <c r="AE89" s="0" t="s">
        <v>249</v>
      </c>
      <c r="AF89" s="0" t="s">
        <v>139</v>
      </c>
      <c r="AG89" s="0" t="s">
        <v>209</v>
      </c>
      <c r="AH89" s="0" t="n">
        <v>1</v>
      </c>
      <c r="AI89" s="0" t="n">
        <v>10</v>
      </c>
      <c r="AJ89" s="0" t="s">
        <v>174</v>
      </c>
      <c r="AK89" s="0" t="s">
        <v>162</v>
      </c>
      <c r="AL89" s="0" t="n">
        <v>2</v>
      </c>
      <c r="AM89" s="0" t="s">
        <v>137</v>
      </c>
      <c r="AN89" s="0" t="s">
        <v>137</v>
      </c>
      <c r="AO89" s="0" t="n">
        <v>6</v>
      </c>
      <c r="AP89" s="0" t="n">
        <v>4</v>
      </c>
      <c r="AQ89" s="0" t="s">
        <v>203</v>
      </c>
      <c r="AR89" s="0" t="n">
        <v>2</v>
      </c>
      <c r="AS89" s="0" t="n">
        <v>3</v>
      </c>
      <c r="AT89" s="0" t="n">
        <v>1</v>
      </c>
      <c r="AU89" s="0" t="n">
        <v>4</v>
      </c>
      <c r="AV89" s="0" t="n">
        <v>3.18</v>
      </c>
      <c r="AW89" s="0" t="n">
        <v>63</v>
      </c>
      <c r="AX89" s="0" t="n">
        <v>74</v>
      </c>
      <c r="AY89" s="0" t="n">
        <v>3.44</v>
      </c>
      <c r="AZ89" s="0" t="n">
        <v>15</v>
      </c>
      <c r="BA89" s="0" t="s">
        <v>145</v>
      </c>
      <c r="BB89" s="0" t="s">
        <v>146</v>
      </c>
      <c r="BC89" s="0" t="s">
        <v>40</v>
      </c>
      <c r="BD89" s="0" t="s">
        <v>164</v>
      </c>
      <c r="BE89" s="0" t="s">
        <v>176</v>
      </c>
      <c r="BF89" s="31" t="n">
        <v>46096.4205265972</v>
      </c>
      <c r="BG89" s="0" t="s">
        <v>137</v>
      </c>
    </row>
    <row r="90" customFormat="false" ht="15" hidden="false" customHeight="false" outlineLevel="0" collapsed="false">
      <c r="A90" s="0" t="s">
        <v>618</v>
      </c>
      <c r="B90" s="0" t="s">
        <v>619</v>
      </c>
      <c r="C90" s="0" t="s">
        <v>620</v>
      </c>
      <c r="D90" s="0" t="s">
        <v>621</v>
      </c>
      <c r="E90" s="0" t="s">
        <v>27</v>
      </c>
      <c r="F90" s="0" t="s">
        <v>33</v>
      </c>
      <c r="G90" s="0" t="s">
        <v>198</v>
      </c>
      <c r="H90" s="31" t="n">
        <v>44650</v>
      </c>
      <c r="I90" s="0" t="n">
        <v>5</v>
      </c>
      <c r="J90" s="0" t="s">
        <v>169</v>
      </c>
      <c r="K90" s="0" t="s">
        <v>156</v>
      </c>
      <c r="L90" s="0" t="s">
        <v>622</v>
      </c>
      <c r="M90" s="0" t="s">
        <v>158</v>
      </c>
      <c r="N90" s="0" t="n">
        <v>2</v>
      </c>
      <c r="O90" s="0" t="s">
        <v>171</v>
      </c>
      <c r="P90" s="0" t="n">
        <v>2</v>
      </c>
      <c r="Q90" s="0" t="n">
        <v>3</v>
      </c>
      <c r="R90" s="0" t="n">
        <v>5</v>
      </c>
      <c r="S90" s="0" t="n">
        <v>0</v>
      </c>
      <c r="T90" s="0" t="n">
        <v>1</v>
      </c>
      <c r="U90" s="0" t="n">
        <v>6</v>
      </c>
      <c r="V90" s="0" t="n">
        <v>24</v>
      </c>
      <c r="W90" s="0" t="n">
        <v>20</v>
      </c>
      <c r="X90" s="0" t="n">
        <v>0</v>
      </c>
      <c r="Y90" s="0" t="n">
        <v>14</v>
      </c>
      <c r="Z90" s="0" t="n">
        <v>30</v>
      </c>
      <c r="AA90" s="0" t="s">
        <v>135</v>
      </c>
      <c r="AB90" s="0" t="s">
        <v>136</v>
      </c>
      <c r="AC90" s="0" t="s">
        <v>137</v>
      </c>
      <c r="AD90" s="0" t="n">
        <v>5</v>
      </c>
      <c r="AE90" s="0" t="s">
        <v>215</v>
      </c>
      <c r="AF90" s="0" t="s">
        <v>184</v>
      </c>
      <c r="AG90" s="0" t="s">
        <v>266</v>
      </c>
      <c r="AH90" s="0" t="n">
        <v>2</v>
      </c>
      <c r="AI90" s="0" t="n">
        <v>7</v>
      </c>
      <c r="AJ90" s="0" t="s">
        <v>193</v>
      </c>
      <c r="AK90" s="0" t="s">
        <v>142</v>
      </c>
      <c r="AL90" s="0" t="n">
        <v>3</v>
      </c>
      <c r="AM90" s="0" t="s">
        <v>137</v>
      </c>
      <c r="AN90" s="0" t="s">
        <v>143</v>
      </c>
      <c r="AO90" s="0" t="n">
        <v>6</v>
      </c>
      <c r="AP90" s="0" t="n">
        <v>4</v>
      </c>
      <c r="AQ90" s="0" t="s">
        <v>144</v>
      </c>
      <c r="AR90" s="0" t="n">
        <v>1</v>
      </c>
      <c r="AS90" s="0" t="n">
        <v>2</v>
      </c>
      <c r="AT90" s="0" t="n">
        <v>2</v>
      </c>
      <c r="AU90" s="0" t="n">
        <v>8</v>
      </c>
      <c r="AV90" s="0" t="n">
        <v>3.99</v>
      </c>
      <c r="AW90" s="0" t="n">
        <v>80</v>
      </c>
      <c r="AX90" s="0" t="n">
        <v>100</v>
      </c>
      <c r="AY90" s="0" t="n">
        <v>4.5</v>
      </c>
      <c r="AZ90" s="0" t="n">
        <v>10</v>
      </c>
      <c r="BA90" s="0" t="s">
        <v>145</v>
      </c>
      <c r="BB90" s="0" t="s">
        <v>146</v>
      </c>
      <c r="BC90" s="0" t="s">
        <v>147</v>
      </c>
      <c r="BD90" s="0" t="s">
        <v>164</v>
      </c>
      <c r="BE90" s="0" t="s">
        <v>176</v>
      </c>
      <c r="BF90" s="31" t="n">
        <v>46096.4205265972</v>
      </c>
      <c r="BG90" s="0" t="s">
        <v>143</v>
      </c>
    </row>
    <row r="91" customFormat="false" ht="15" hidden="false" customHeight="false" outlineLevel="0" collapsed="false">
      <c r="A91" s="0" t="s">
        <v>623</v>
      </c>
      <c r="B91" s="0" t="s">
        <v>624</v>
      </c>
      <c r="C91" s="0" t="s">
        <v>625</v>
      </c>
      <c r="D91" s="0" t="s">
        <v>626</v>
      </c>
      <c r="E91" s="0" t="s">
        <v>22</v>
      </c>
      <c r="F91" s="0" t="s">
        <v>23</v>
      </c>
      <c r="G91" s="0" t="s">
        <v>129</v>
      </c>
      <c r="H91" s="31" t="n">
        <v>43850</v>
      </c>
      <c r="I91" s="0" t="n">
        <v>15</v>
      </c>
      <c r="J91" s="0" t="s">
        <v>169</v>
      </c>
      <c r="K91" s="0" t="s">
        <v>131</v>
      </c>
      <c r="L91" s="0" t="s">
        <v>627</v>
      </c>
      <c r="M91" s="0" t="s">
        <v>158</v>
      </c>
      <c r="N91" s="0" t="n">
        <v>6</v>
      </c>
      <c r="O91" s="0" t="s">
        <v>171</v>
      </c>
      <c r="P91" s="0" t="n">
        <v>2</v>
      </c>
      <c r="Q91" s="0" t="n">
        <v>5</v>
      </c>
      <c r="R91" s="0" t="n">
        <v>2</v>
      </c>
      <c r="S91" s="0" t="n">
        <v>2</v>
      </c>
      <c r="T91" s="0" t="n">
        <v>0</v>
      </c>
      <c r="U91" s="0" t="n">
        <v>4</v>
      </c>
      <c r="V91" s="0" t="n">
        <v>16</v>
      </c>
      <c r="W91" s="0" t="n">
        <v>20</v>
      </c>
      <c r="X91" s="0" t="n">
        <v>0</v>
      </c>
      <c r="Y91" s="0" t="n">
        <v>16</v>
      </c>
      <c r="Z91" s="0" t="n">
        <v>20</v>
      </c>
      <c r="AA91" s="0" t="s">
        <v>135</v>
      </c>
      <c r="AB91" s="0" t="s">
        <v>136</v>
      </c>
      <c r="AC91" s="0" t="s">
        <v>143</v>
      </c>
      <c r="AD91" s="0" t="n">
        <v>3</v>
      </c>
      <c r="AE91" s="0" t="s">
        <v>215</v>
      </c>
      <c r="AF91" s="0" t="s">
        <v>140</v>
      </c>
      <c r="AG91" s="0" t="s">
        <v>173</v>
      </c>
      <c r="AH91" s="0" t="n">
        <v>1</v>
      </c>
      <c r="AI91" s="0" t="n">
        <v>7</v>
      </c>
      <c r="AJ91" s="0" t="s">
        <v>141</v>
      </c>
      <c r="AK91" s="0" t="s">
        <v>142</v>
      </c>
      <c r="AL91" s="0" t="n">
        <v>6</v>
      </c>
      <c r="AM91" s="0" t="s">
        <v>143</v>
      </c>
      <c r="AN91" s="0" t="s">
        <v>143</v>
      </c>
      <c r="AO91" s="0" t="n">
        <v>8</v>
      </c>
      <c r="AP91" s="0" t="n">
        <v>3</v>
      </c>
      <c r="AQ91" s="0" t="s">
        <v>203</v>
      </c>
      <c r="AR91" s="0" t="n">
        <v>3</v>
      </c>
      <c r="AS91" s="0" t="n">
        <v>5</v>
      </c>
      <c r="AT91" s="0" t="n">
        <v>5</v>
      </c>
      <c r="AU91" s="0" t="n">
        <v>3</v>
      </c>
      <c r="AV91" s="0" t="n">
        <v>3.95</v>
      </c>
      <c r="AW91" s="0" t="n">
        <v>82</v>
      </c>
      <c r="AX91" s="0" t="n">
        <v>76</v>
      </c>
      <c r="AY91" s="0" t="n">
        <v>3.88</v>
      </c>
      <c r="AZ91" s="0" t="n">
        <v>15</v>
      </c>
      <c r="BA91" s="0" t="s">
        <v>163</v>
      </c>
      <c r="BB91" s="0" t="s">
        <v>146</v>
      </c>
      <c r="BC91" s="0" t="s">
        <v>40</v>
      </c>
      <c r="BD91" s="0" t="s">
        <v>148</v>
      </c>
      <c r="BE91" s="0" t="s">
        <v>176</v>
      </c>
      <c r="BF91" s="31" t="n">
        <v>46096.4205265972</v>
      </c>
      <c r="BG91" s="0" t="s">
        <v>137</v>
      </c>
    </row>
    <row r="92" customFormat="false" ht="15" hidden="false" customHeight="false" outlineLevel="0" collapsed="false">
      <c r="A92" s="0" t="s">
        <v>628</v>
      </c>
      <c r="B92" s="0" t="s">
        <v>629</v>
      </c>
      <c r="C92" s="0" t="s">
        <v>630</v>
      </c>
      <c r="D92" s="0" t="s">
        <v>631</v>
      </c>
      <c r="E92" s="0" t="s">
        <v>27</v>
      </c>
      <c r="F92" s="0" t="s">
        <v>23</v>
      </c>
      <c r="G92" s="0" t="s">
        <v>154</v>
      </c>
      <c r="H92" s="31" t="n">
        <v>42507</v>
      </c>
      <c r="I92" s="0" t="n">
        <v>2</v>
      </c>
      <c r="J92" s="0" t="s">
        <v>130</v>
      </c>
      <c r="K92" s="0" t="s">
        <v>199</v>
      </c>
      <c r="L92" s="0" t="s">
        <v>632</v>
      </c>
      <c r="M92" s="0" t="s">
        <v>201</v>
      </c>
      <c r="N92" s="0" t="n">
        <v>3</v>
      </c>
      <c r="O92" s="0" t="s">
        <v>171</v>
      </c>
      <c r="P92" s="0" t="n">
        <v>3</v>
      </c>
      <c r="Q92" s="0" t="n">
        <v>2</v>
      </c>
      <c r="R92" s="0" t="n">
        <v>2</v>
      </c>
      <c r="S92" s="0" t="n">
        <v>1</v>
      </c>
      <c r="T92" s="0" t="n">
        <v>0</v>
      </c>
      <c r="U92" s="0" t="n">
        <v>3</v>
      </c>
      <c r="V92" s="0" t="n">
        <v>12</v>
      </c>
      <c r="W92" s="0" t="n">
        <v>20</v>
      </c>
      <c r="X92" s="0" t="n">
        <v>0</v>
      </c>
      <c r="Y92" s="0" t="n">
        <v>17</v>
      </c>
      <c r="Z92" s="0" t="n">
        <v>15</v>
      </c>
      <c r="AA92" s="0" t="s">
        <v>135</v>
      </c>
      <c r="AB92" s="0" t="s">
        <v>136</v>
      </c>
      <c r="AC92" s="0" t="s">
        <v>137</v>
      </c>
      <c r="AD92" s="0" t="n">
        <v>7</v>
      </c>
      <c r="AE92" s="0" t="s">
        <v>183</v>
      </c>
      <c r="AF92" s="0" t="s">
        <v>184</v>
      </c>
      <c r="AG92" s="0" t="s">
        <v>307</v>
      </c>
      <c r="AH92" s="0" t="n">
        <v>1</v>
      </c>
      <c r="AI92" s="0" t="n">
        <v>5</v>
      </c>
      <c r="AJ92" s="0" t="s">
        <v>250</v>
      </c>
      <c r="AK92" s="0" t="s">
        <v>162</v>
      </c>
      <c r="AL92" s="0" t="n">
        <v>10</v>
      </c>
      <c r="AM92" s="0" t="s">
        <v>143</v>
      </c>
      <c r="AN92" s="0" t="s">
        <v>143</v>
      </c>
      <c r="AO92" s="0" t="n">
        <v>6</v>
      </c>
      <c r="AP92" s="0" t="n">
        <v>1</v>
      </c>
      <c r="AQ92" s="0" t="s">
        <v>237</v>
      </c>
      <c r="AR92" s="0" t="n">
        <v>4</v>
      </c>
      <c r="AS92" s="0" t="n">
        <v>2</v>
      </c>
      <c r="AT92" s="0" t="n">
        <v>0</v>
      </c>
      <c r="AU92" s="0" t="n">
        <v>7</v>
      </c>
      <c r="AV92" s="0" t="n">
        <v>4.58</v>
      </c>
      <c r="AW92" s="0" t="n">
        <v>75</v>
      </c>
      <c r="AX92" s="0" t="n">
        <v>72</v>
      </c>
      <c r="AY92" s="0" t="n">
        <v>4.09</v>
      </c>
      <c r="AZ92" s="0" t="n">
        <v>2</v>
      </c>
      <c r="BA92" s="0" t="s">
        <v>163</v>
      </c>
      <c r="BB92" s="0" t="s">
        <v>146</v>
      </c>
      <c r="BC92" s="0" t="s">
        <v>186</v>
      </c>
      <c r="BD92" s="0" t="s">
        <v>164</v>
      </c>
      <c r="BE92" s="0" t="s">
        <v>149</v>
      </c>
      <c r="BF92" s="31" t="n">
        <v>46096.4205265972</v>
      </c>
      <c r="BG92" s="0" t="s">
        <v>137</v>
      </c>
    </row>
    <row r="93" customFormat="false" ht="15" hidden="false" customHeight="false" outlineLevel="0" collapsed="false">
      <c r="A93" s="0" t="s">
        <v>633</v>
      </c>
      <c r="B93" s="0" t="s">
        <v>634</v>
      </c>
      <c r="C93" s="0" t="s">
        <v>635</v>
      </c>
      <c r="D93" s="0" t="s">
        <v>636</v>
      </c>
      <c r="E93" s="0" t="s">
        <v>37</v>
      </c>
      <c r="F93" s="0" t="s">
        <v>33</v>
      </c>
      <c r="G93" s="0" t="s">
        <v>129</v>
      </c>
      <c r="H93" s="31" t="n">
        <v>43007</v>
      </c>
      <c r="I93" s="0" t="n">
        <v>5</v>
      </c>
      <c r="J93" s="0" t="s">
        <v>220</v>
      </c>
      <c r="K93" s="0" t="s">
        <v>242</v>
      </c>
      <c r="L93" s="0" t="s">
        <v>637</v>
      </c>
      <c r="M93" s="0" t="s">
        <v>133</v>
      </c>
      <c r="N93" s="0" t="n">
        <v>4</v>
      </c>
      <c r="O93" s="0" t="s">
        <v>134</v>
      </c>
      <c r="P93" s="0" t="n">
        <v>2</v>
      </c>
      <c r="Q93" s="0" t="n">
        <v>4</v>
      </c>
      <c r="R93" s="0" t="n">
        <v>2</v>
      </c>
      <c r="S93" s="0" t="n">
        <v>2</v>
      </c>
      <c r="T93" s="0" t="n">
        <v>0</v>
      </c>
      <c r="U93" s="0" t="n">
        <v>4</v>
      </c>
      <c r="V93" s="0" t="n">
        <v>16</v>
      </c>
      <c r="W93" s="0" t="n">
        <v>20</v>
      </c>
      <c r="X93" s="0" t="n">
        <v>0</v>
      </c>
      <c r="Y93" s="0" t="n">
        <v>16</v>
      </c>
      <c r="Z93" s="0" t="n">
        <v>20</v>
      </c>
      <c r="AA93" s="0" t="s">
        <v>135</v>
      </c>
      <c r="AB93" s="0" t="s">
        <v>172</v>
      </c>
      <c r="AC93" s="0" t="s">
        <v>137</v>
      </c>
      <c r="AD93" s="0" t="n">
        <v>3</v>
      </c>
      <c r="AE93" s="0" t="s">
        <v>215</v>
      </c>
      <c r="AF93" s="0" t="s">
        <v>140</v>
      </c>
      <c r="AG93" s="0" t="s">
        <v>173</v>
      </c>
      <c r="AH93" s="0" t="n">
        <v>1</v>
      </c>
      <c r="AI93" s="0" t="n">
        <v>14</v>
      </c>
      <c r="AJ93" s="0" t="s">
        <v>141</v>
      </c>
      <c r="AK93" s="0" t="s">
        <v>162</v>
      </c>
      <c r="AL93" s="0" t="n">
        <v>8</v>
      </c>
      <c r="AM93" s="0" t="s">
        <v>137</v>
      </c>
      <c r="AN93" s="0" t="s">
        <v>143</v>
      </c>
      <c r="AO93" s="0" t="n">
        <v>9</v>
      </c>
      <c r="AP93" s="0" t="n">
        <v>0</v>
      </c>
      <c r="AQ93" s="0" t="s">
        <v>203</v>
      </c>
      <c r="AR93" s="0" t="n">
        <v>5</v>
      </c>
      <c r="AS93" s="0" t="n">
        <v>1</v>
      </c>
      <c r="AT93" s="0" t="n">
        <v>3</v>
      </c>
      <c r="AU93" s="0" t="n">
        <v>1</v>
      </c>
      <c r="AV93" s="0" t="n">
        <v>3.62</v>
      </c>
      <c r="AW93" s="0" t="n">
        <v>60</v>
      </c>
      <c r="AX93" s="0" t="n">
        <v>90</v>
      </c>
      <c r="AY93" s="0" t="n">
        <v>4.06</v>
      </c>
      <c r="AZ93" s="0" t="n">
        <v>4</v>
      </c>
      <c r="BA93" s="0" t="s">
        <v>145</v>
      </c>
      <c r="BB93" s="0" t="s">
        <v>146</v>
      </c>
      <c r="BC93" s="0" t="s">
        <v>147</v>
      </c>
      <c r="BD93" s="0" t="s">
        <v>164</v>
      </c>
      <c r="BE93" s="0" t="s">
        <v>176</v>
      </c>
      <c r="BF93" s="31" t="n">
        <v>46096.4205265972</v>
      </c>
      <c r="BG93" s="0" t="s">
        <v>137</v>
      </c>
    </row>
    <row r="94" customFormat="false" ht="15" hidden="false" customHeight="false" outlineLevel="0" collapsed="false">
      <c r="A94" s="0" t="s">
        <v>638</v>
      </c>
      <c r="B94" s="0" t="s">
        <v>639</v>
      </c>
      <c r="C94" s="0" t="s">
        <v>640</v>
      </c>
      <c r="D94" s="0" t="s">
        <v>641</v>
      </c>
      <c r="E94" s="0" t="s">
        <v>22</v>
      </c>
      <c r="F94" s="0" t="s">
        <v>33</v>
      </c>
      <c r="G94" s="0" t="s">
        <v>154</v>
      </c>
      <c r="H94" s="31" t="n">
        <v>42502</v>
      </c>
      <c r="I94" s="0" t="n">
        <v>4</v>
      </c>
      <c r="J94" s="0" t="s">
        <v>220</v>
      </c>
      <c r="K94" s="0" t="s">
        <v>191</v>
      </c>
      <c r="L94" s="0" t="s">
        <v>642</v>
      </c>
      <c r="M94" s="0" t="s">
        <v>201</v>
      </c>
      <c r="N94" s="0" t="n">
        <v>4</v>
      </c>
      <c r="O94" s="0" t="s">
        <v>171</v>
      </c>
      <c r="P94" s="0" t="n">
        <v>4</v>
      </c>
      <c r="Q94" s="0" t="n">
        <v>4</v>
      </c>
      <c r="R94" s="0" t="n">
        <v>6</v>
      </c>
      <c r="S94" s="0" t="n">
        <v>1</v>
      </c>
      <c r="T94" s="0" t="n">
        <v>2</v>
      </c>
      <c r="U94" s="0" t="n">
        <v>9</v>
      </c>
      <c r="V94" s="0" t="n">
        <v>36</v>
      </c>
      <c r="W94" s="0" t="n">
        <v>20</v>
      </c>
      <c r="X94" s="0" t="n">
        <v>0</v>
      </c>
      <c r="Y94" s="0" t="n">
        <v>11</v>
      </c>
      <c r="Z94" s="0" t="n">
        <v>45</v>
      </c>
      <c r="AA94" s="0" t="s">
        <v>135</v>
      </c>
      <c r="AB94" s="0" t="s">
        <v>172</v>
      </c>
      <c r="AC94" s="0" t="s">
        <v>143</v>
      </c>
      <c r="AD94" s="0" t="n">
        <v>3</v>
      </c>
      <c r="AE94" s="0" t="s">
        <v>138</v>
      </c>
      <c r="AF94" s="0" t="s">
        <v>209</v>
      </c>
      <c r="AG94" s="0" t="s">
        <v>173</v>
      </c>
      <c r="AH94" s="0" t="n">
        <v>2</v>
      </c>
      <c r="AI94" s="0" t="n">
        <v>18</v>
      </c>
      <c r="AJ94" s="0" t="s">
        <v>141</v>
      </c>
      <c r="AK94" s="0" t="s">
        <v>162</v>
      </c>
      <c r="AL94" s="0" t="n">
        <v>9</v>
      </c>
      <c r="AM94" s="0" t="s">
        <v>137</v>
      </c>
      <c r="AN94" s="0" t="s">
        <v>143</v>
      </c>
      <c r="AO94" s="0" t="n">
        <v>5</v>
      </c>
      <c r="AP94" s="0" t="n">
        <v>0</v>
      </c>
      <c r="AQ94" s="0" t="s">
        <v>144</v>
      </c>
      <c r="AR94" s="0" t="n">
        <v>1</v>
      </c>
      <c r="AS94" s="0" t="n">
        <v>0</v>
      </c>
      <c r="AT94" s="0" t="n">
        <v>2</v>
      </c>
      <c r="AU94" s="0" t="n">
        <v>6</v>
      </c>
      <c r="AV94" s="0" t="n">
        <v>4.96</v>
      </c>
      <c r="AW94" s="0" t="n">
        <v>67</v>
      </c>
      <c r="AX94" s="0" t="n">
        <v>90</v>
      </c>
      <c r="AY94" s="0" t="n">
        <v>4.73</v>
      </c>
      <c r="AZ94" s="0" t="n">
        <v>18</v>
      </c>
      <c r="BA94" s="0" t="s">
        <v>145</v>
      </c>
      <c r="BB94" s="0" t="s">
        <v>146</v>
      </c>
      <c r="BC94" s="0" t="s">
        <v>40</v>
      </c>
      <c r="BD94" s="0" t="s">
        <v>148</v>
      </c>
      <c r="BE94" s="0" t="s">
        <v>149</v>
      </c>
      <c r="BF94" s="31" t="n">
        <v>46096.4205265972</v>
      </c>
      <c r="BG94" s="0" t="s">
        <v>143</v>
      </c>
    </row>
    <row r="95" customFormat="false" ht="15" hidden="false" customHeight="false" outlineLevel="0" collapsed="false">
      <c r="A95" s="0" t="s">
        <v>643</v>
      </c>
      <c r="B95" s="0" t="s">
        <v>644</v>
      </c>
      <c r="C95" s="0" t="s">
        <v>645</v>
      </c>
      <c r="D95" s="0" t="s">
        <v>646</v>
      </c>
      <c r="E95" s="0" t="s">
        <v>27</v>
      </c>
      <c r="F95" s="0" t="s">
        <v>23</v>
      </c>
      <c r="G95" s="0" t="s">
        <v>198</v>
      </c>
      <c r="H95" s="31" t="n">
        <v>43377</v>
      </c>
      <c r="I95" s="0" t="n">
        <v>11</v>
      </c>
      <c r="J95" s="0" t="s">
        <v>130</v>
      </c>
      <c r="K95" s="0" t="s">
        <v>191</v>
      </c>
      <c r="L95" s="0" t="s">
        <v>647</v>
      </c>
      <c r="M95" s="0" t="s">
        <v>133</v>
      </c>
      <c r="N95" s="0" t="n">
        <v>2</v>
      </c>
      <c r="O95" s="0" t="s">
        <v>182</v>
      </c>
      <c r="P95" s="0" t="n">
        <v>4</v>
      </c>
      <c r="Q95" s="0" t="n">
        <v>4</v>
      </c>
      <c r="R95" s="0" t="n">
        <v>3</v>
      </c>
      <c r="S95" s="0" t="n">
        <v>2</v>
      </c>
      <c r="T95" s="0" t="n">
        <v>2</v>
      </c>
      <c r="U95" s="0" t="n">
        <v>7</v>
      </c>
      <c r="V95" s="0" t="n">
        <v>28</v>
      </c>
      <c r="W95" s="0" t="n">
        <v>20</v>
      </c>
      <c r="X95" s="0" t="n">
        <v>0</v>
      </c>
      <c r="Y95" s="0" t="n">
        <v>13</v>
      </c>
      <c r="Z95" s="0" t="n">
        <v>35</v>
      </c>
      <c r="AA95" s="0" t="s">
        <v>135</v>
      </c>
      <c r="AB95" s="0" t="s">
        <v>172</v>
      </c>
      <c r="AC95" s="0" t="s">
        <v>143</v>
      </c>
      <c r="AD95" s="0" t="n">
        <v>8</v>
      </c>
      <c r="AE95" s="0" t="s">
        <v>138</v>
      </c>
      <c r="AF95" s="0" t="s">
        <v>160</v>
      </c>
      <c r="AG95" s="0" t="s">
        <v>161</v>
      </c>
      <c r="AH95" s="0" t="n">
        <v>1</v>
      </c>
      <c r="AI95" s="0" t="n">
        <v>17</v>
      </c>
      <c r="AJ95" s="0" t="s">
        <v>174</v>
      </c>
      <c r="AK95" s="0" t="s">
        <v>142</v>
      </c>
      <c r="AL95" s="0" t="n">
        <v>9</v>
      </c>
      <c r="AM95" s="0" t="s">
        <v>137</v>
      </c>
      <c r="AN95" s="0" t="s">
        <v>137</v>
      </c>
      <c r="AO95" s="0" t="n">
        <v>3</v>
      </c>
      <c r="AP95" s="0" t="n">
        <v>3</v>
      </c>
      <c r="AQ95" s="0" t="s">
        <v>203</v>
      </c>
      <c r="AR95" s="0" t="n">
        <v>3</v>
      </c>
      <c r="AS95" s="0" t="n">
        <v>5</v>
      </c>
      <c r="AT95" s="0" t="n">
        <v>1</v>
      </c>
      <c r="AU95" s="0" t="n">
        <v>7</v>
      </c>
      <c r="AV95" s="0" t="n">
        <v>4.08</v>
      </c>
      <c r="AW95" s="0" t="n">
        <v>67</v>
      </c>
      <c r="AX95" s="0" t="n">
        <v>77</v>
      </c>
      <c r="AY95" s="0" t="n">
        <v>3.96</v>
      </c>
      <c r="AZ95" s="0" t="n">
        <v>9</v>
      </c>
      <c r="BA95" s="0" t="s">
        <v>145</v>
      </c>
      <c r="BB95" s="0" t="s">
        <v>146</v>
      </c>
      <c r="BC95" s="0" t="s">
        <v>147</v>
      </c>
      <c r="BD95" s="0" t="s">
        <v>164</v>
      </c>
      <c r="BE95" s="0" t="s">
        <v>176</v>
      </c>
      <c r="BF95" s="31" t="n">
        <v>46096.4205265972</v>
      </c>
      <c r="BG95" s="0" t="s">
        <v>143</v>
      </c>
    </row>
    <row r="96" customFormat="false" ht="15" hidden="false" customHeight="false" outlineLevel="0" collapsed="false">
      <c r="A96" s="0" t="s">
        <v>648</v>
      </c>
      <c r="B96" s="0" t="s">
        <v>649</v>
      </c>
      <c r="C96" s="0" t="s">
        <v>650</v>
      </c>
      <c r="D96" s="0" t="s">
        <v>651</v>
      </c>
      <c r="E96" s="0" t="s">
        <v>22</v>
      </c>
      <c r="F96" s="0" t="s">
        <v>33</v>
      </c>
      <c r="G96" s="0" t="s">
        <v>129</v>
      </c>
      <c r="H96" s="31" t="n">
        <v>42200</v>
      </c>
      <c r="I96" s="0" t="n">
        <v>1</v>
      </c>
      <c r="J96" s="0" t="s">
        <v>169</v>
      </c>
      <c r="K96" s="0" t="s">
        <v>131</v>
      </c>
      <c r="L96" s="0" t="s">
        <v>607</v>
      </c>
      <c r="M96" s="0" t="s">
        <v>201</v>
      </c>
      <c r="N96" s="0" t="n">
        <v>6</v>
      </c>
      <c r="O96" s="0" t="s">
        <v>171</v>
      </c>
      <c r="P96" s="0" t="n">
        <v>3</v>
      </c>
      <c r="Q96" s="0" t="n">
        <v>2</v>
      </c>
      <c r="R96" s="0" t="n">
        <v>4</v>
      </c>
      <c r="S96" s="0" t="n">
        <v>1</v>
      </c>
      <c r="T96" s="0" t="n">
        <v>1</v>
      </c>
      <c r="U96" s="0" t="n">
        <v>6</v>
      </c>
      <c r="V96" s="0" t="n">
        <v>24</v>
      </c>
      <c r="W96" s="0" t="n">
        <v>20</v>
      </c>
      <c r="X96" s="0" t="n">
        <v>0</v>
      </c>
      <c r="Y96" s="0" t="n">
        <v>14</v>
      </c>
      <c r="Z96" s="0" t="n">
        <v>30</v>
      </c>
      <c r="AA96" s="0" t="s">
        <v>135</v>
      </c>
      <c r="AB96" s="0" t="s">
        <v>136</v>
      </c>
      <c r="AC96" s="0" t="s">
        <v>143</v>
      </c>
      <c r="AD96" s="0" t="n">
        <v>9</v>
      </c>
      <c r="AE96" s="0" t="s">
        <v>183</v>
      </c>
      <c r="AF96" s="0" t="s">
        <v>139</v>
      </c>
      <c r="AG96" s="0" t="s">
        <v>140</v>
      </c>
      <c r="AH96" s="0" t="n">
        <v>2</v>
      </c>
      <c r="AI96" s="0" t="n">
        <v>13</v>
      </c>
      <c r="AJ96" s="0" t="s">
        <v>185</v>
      </c>
      <c r="AK96" s="0" t="s">
        <v>162</v>
      </c>
      <c r="AL96" s="0" t="n">
        <v>8</v>
      </c>
      <c r="AM96" s="0" t="s">
        <v>137</v>
      </c>
      <c r="AN96" s="0" t="s">
        <v>137</v>
      </c>
      <c r="AO96" s="0" t="n">
        <v>1</v>
      </c>
      <c r="AP96" s="0" t="n">
        <v>3</v>
      </c>
      <c r="AQ96" s="0" t="s">
        <v>237</v>
      </c>
      <c r="AR96" s="0" t="n">
        <v>5</v>
      </c>
      <c r="AS96" s="0" t="n">
        <v>5</v>
      </c>
      <c r="AT96" s="0" t="n">
        <v>5</v>
      </c>
      <c r="AU96" s="0" t="n">
        <v>4</v>
      </c>
      <c r="AV96" s="0" t="n">
        <v>3.64</v>
      </c>
      <c r="AW96" s="0" t="n">
        <v>62</v>
      </c>
      <c r="AX96" s="0" t="n">
        <v>89</v>
      </c>
      <c r="AY96" s="0" t="n">
        <v>4.04</v>
      </c>
      <c r="AZ96" s="0" t="n">
        <v>3</v>
      </c>
      <c r="BA96" s="0" t="s">
        <v>163</v>
      </c>
      <c r="BB96" s="0" t="s">
        <v>146</v>
      </c>
      <c r="BC96" s="0" t="s">
        <v>40</v>
      </c>
      <c r="BD96" s="0" t="s">
        <v>164</v>
      </c>
      <c r="BE96" s="0" t="s">
        <v>176</v>
      </c>
      <c r="BF96" s="31" t="n">
        <v>46096.4205265972</v>
      </c>
      <c r="BG96" s="0" t="s">
        <v>137</v>
      </c>
    </row>
    <row r="97" customFormat="false" ht="15" hidden="false" customHeight="false" outlineLevel="0" collapsed="false">
      <c r="A97" s="0" t="s">
        <v>652</v>
      </c>
      <c r="B97" s="0" t="s">
        <v>653</v>
      </c>
      <c r="C97" s="0" t="s">
        <v>654</v>
      </c>
      <c r="D97" s="0" t="s">
        <v>655</v>
      </c>
      <c r="E97" s="0" t="s">
        <v>32</v>
      </c>
      <c r="F97" s="0" t="s">
        <v>28</v>
      </c>
      <c r="G97" s="0" t="s">
        <v>154</v>
      </c>
      <c r="H97" s="31" t="n">
        <v>42185</v>
      </c>
      <c r="I97" s="0" t="n">
        <v>16</v>
      </c>
      <c r="J97" s="0" t="s">
        <v>169</v>
      </c>
      <c r="K97" s="0" t="s">
        <v>131</v>
      </c>
      <c r="L97" s="0" t="s">
        <v>656</v>
      </c>
      <c r="M97" s="0" t="s">
        <v>133</v>
      </c>
      <c r="N97" s="0" t="n">
        <v>6</v>
      </c>
      <c r="O97" s="0" t="s">
        <v>134</v>
      </c>
      <c r="P97" s="0" t="n">
        <v>3</v>
      </c>
      <c r="Q97" s="0" t="n">
        <v>3</v>
      </c>
      <c r="R97" s="0" t="n">
        <v>5</v>
      </c>
      <c r="S97" s="0" t="n">
        <v>1</v>
      </c>
      <c r="T97" s="0" t="n">
        <v>1</v>
      </c>
      <c r="U97" s="0" t="n">
        <v>7</v>
      </c>
      <c r="V97" s="0" t="n">
        <v>28</v>
      </c>
      <c r="W97" s="0" t="n">
        <v>20</v>
      </c>
      <c r="X97" s="0" t="n">
        <v>0</v>
      </c>
      <c r="Y97" s="0" t="n">
        <v>13</v>
      </c>
      <c r="Z97" s="0" t="n">
        <v>35</v>
      </c>
      <c r="AA97" s="0" t="s">
        <v>135</v>
      </c>
      <c r="AB97" s="0" t="s">
        <v>136</v>
      </c>
      <c r="AC97" s="0" t="s">
        <v>143</v>
      </c>
      <c r="AD97" s="0" t="n">
        <v>3</v>
      </c>
      <c r="AE97" s="0" t="s">
        <v>249</v>
      </c>
      <c r="AF97" s="0" t="s">
        <v>202</v>
      </c>
      <c r="AG97" s="0" t="s">
        <v>307</v>
      </c>
      <c r="AH97" s="0" t="n">
        <v>2</v>
      </c>
      <c r="AI97" s="0" t="n">
        <v>11</v>
      </c>
      <c r="AJ97" s="0" t="s">
        <v>250</v>
      </c>
      <c r="AK97" s="0" t="s">
        <v>162</v>
      </c>
      <c r="AL97" s="0" t="n">
        <v>10</v>
      </c>
      <c r="AM97" s="0" t="s">
        <v>137</v>
      </c>
      <c r="AN97" s="0" t="s">
        <v>137</v>
      </c>
      <c r="AO97" s="0" t="n">
        <v>7</v>
      </c>
      <c r="AP97" s="0" t="n">
        <v>5</v>
      </c>
      <c r="AQ97" s="0" t="s">
        <v>175</v>
      </c>
      <c r="AR97" s="0" t="n">
        <v>3</v>
      </c>
      <c r="AS97" s="0" t="n">
        <v>1</v>
      </c>
      <c r="AT97" s="0" t="n">
        <v>4</v>
      </c>
      <c r="AU97" s="0" t="n">
        <v>3</v>
      </c>
      <c r="AV97" s="0" t="n">
        <v>4.21</v>
      </c>
      <c r="AW97" s="0" t="n">
        <v>91</v>
      </c>
      <c r="AX97" s="0" t="n">
        <v>85</v>
      </c>
      <c r="AY97" s="0" t="n">
        <v>4.23</v>
      </c>
      <c r="AZ97" s="0" t="n">
        <v>10</v>
      </c>
      <c r="BA97" s="0" t="s">
        <v>145</v>
      </c>
      <c r="BB97" s="0" t="s">
        <v>146</v>
      </c>
      <c r="BC97" s="0" t="s">
        <v>186</v>
      </c>
      <c r="BD97" s="0" t="s">
        <v>164</v>
      </c>
      <c r="BE97" s="0" t="s">
        <v>149</v>
      </c>
      <c r="BF97" s="31" t="n">
        <v>46096.4205265972</v>
      </c>
      <c r="BG97" s="0" t="s">
        <v>143</v>
      </c>
    </row>
    <row r="98" customFormat="false" ht="15" hidden="false" customHeight="false" outlineLevel="0" collapsed="false">
      <c r="A98" s="0" t="s">
        <v>657</v>
      </c>
      <c r="B98" s="0" t="s">
        <v>658</v>
      </c>
      <c r="C98" s="0" t="s">
        <v>659</v>
      </c>
      <c r="D98" s="0" t="s">
        <v>660</v>
      </c>
      <c r="E98" s="0" t="s">
        <v>32</v>
      </c>
      <c r="F98" s="0" t="s">
        <v>23</v>
      </c>
      <c r="G98" s="0" t="s">
        <v>198</v>
      </c>
      <c r="H98" s="31" t="n">
        <v>43390</v>
      </c>
      <c r="I98" s="0" t="n">
        <v>2</v>
      </c>
      <c r="J98" s="0" t="s">
        <v>130</v>
      </c>
      <c r="K98" s="0" t="s">
        <v>191</v>
      </c>
      <c r="L98" s="0" t="s">
        <v>661</v>
      </c>
      <c r="M98" s="0" t="s">
        <v>133</v>
      </c>
      <c r="N98" s="0" t="n">
        <v>4</v>
      </c>
      <c r="O98" s="0" t="s">
        <v>134</v>
      </c>
      <c r="P98" s="0" t="n">
        <v>3</v>
      </c>
      <c r="Q98" s="0" t="n">
        <v>5</v>
      </c>
      <c r="R98" s="0" t="n">
        <v>6</v>
      </c>
      <c r="S98" s="0" t="n">
        <v>2</v>
      </c>
      <c r="T98" s="0" t="n">
        <v>1</v>
      </c>
      <c r="U98" s="0" t="n">
        <v>9</v>
      </c>
      <c r="V98" s="0" t="n">
        <v>36</v>
      </c>
      <c r="W98" s="0" t="n">
        <v>20</v>
      </c>
      <c r="X98" s="0" t="n">
        <v>0</v>
      </c>
      <c r="Y98" s="0" t="n">
        <v>11</v>
      </c>
      <c r="Z98" s="0" t="n">
        <v>45</v>
      </c>
      <c r="AA98" s="0" t="s">
        <v>135</v>
      </c>
      <c r="AB98" s="0" t="s">
        <v>136</v>
      </c>
      <c r="AC98" s="0" t="s">
        <v>143</v>
      </c>
      <c r="AD98" s="0" t="n">
        <v>9</v>
      </c>
      <c r="AE98" s="0" t="s">
        <v>215</v>
      </c>
      <c r="AF98" s="0" t="s">
        <v>184</v>
      </c>
      <c r="AG98" s="0" t="s">
        <v>307</v>
      </c>
      <c r="AH98" s="0" t="n">
        <v>1</v>
      </c>
      <c r="AI98" s="0" t="n">
        <v>6</v>
      </c>
      <c r="AJ98" s="0" t="s">
        <v>185</v>
      </c>
      <c r="AK98" s="0" t="s">
        <v>162</v>
      </c>
      <c r="AL98" s="0" t="n">
        <v>1</v>
      </c>
      <c r="AM98" s="0" t="s">
        <v>143</v>
      </c>
      <c r="AN98" s="0" t="s">
        <v>143</v>
      </c>
      <c r="AO98" s="0" t="n">
        <v>4</v>
      </c>
      <c r="AP98" s="0" t="n">
        <v>2</v>
      </c>
      <c r="AQ98" s="0" t="s">
        <v>144</v>
      </c>
      <c r="AR98" s="0" t="n">
        <v>5</v>
      </c>
      <c r="AS98" s="0" t="n">
        <v>2</v>
      </c>
      <c r="AT98" s="0" t="n">
        <v>5</v>
      </c>
      <c r="AU98" s="0" t="n">
        <v>3</v>
      </c>
      <c r="AV98" s="0" t="n">
        <v>3.61</v>
      </c>
      <c r="AW98" s="0" t="n">
        <v>85</v>
      </c>
      <c r="AX98" s="0" t="n">
        <v>91</v>
      </c>
      <c r="AY98" s="0" t="n">
        <v>4.08</v>
      </c>
      <c r="AZ98" s="0" t="n">
        <v>19</v>
      </c>
      <c r="BA98" s="0" t="s">
        <v>145</v>
      </c>
      <c r="BB98" s="0" t="s">
        <v>146</v>
      </c>
      <c r="BC98" s="0" t="s">
        <v>186</v>
      </c>
      <c r="BD98" s="0" t="s">
        <v>148</v>
      </c>
      <c r="BE98" s="0" t="s">
        <v>176</v>
      </c>
      <c r="BF98" s="31" t="n">
        <v>46096.4205265972</v>
      </c>
      <c r="BG98" s="0" t="s">
        <v>137</v>
      </c>
    </row>
    <row r="99" customFormat="false" ht="15" hidden="false" customHeight="false" outlineLevel="0" collapsed="false">
      <c r="A99" s="0" t="s">
        <v>662</v>
      </c>
      <c r="B99" s="0" t="s">
        <v>663</v>
      </c>
      <c r="C99" s="0" t="s">
        <v>664</v>
      </c>
      <c r="D99" s="0" t="s">
        <v>665</v>
      </c>
      <c r="E99" s="0" t="s">
        <v>22</v>
      </c>
      <c r="F99" s="0" t="s">
        <v>28</v>
      </c>
      <c r="G99" s="0" t="s">
        <v>129</v>
      </c>
      <c r="H99" s="31" t="n">
        <v>44407</v>
      </c>
      <c r="I99" s="0" t="n">
        <v>18</v>
      </c>
      <c r="J99" s="0" t="s">
        <v>130</v>
      </c>
      <c r="K99" s="0" t="s">
        <v>131</v>
      </c>
      <c r="L99" s="0" t="s">
        <v>666</v>
      </c>
      <c r="M99" s="0" t="s">
        <v>158</v>
      </c>
      <c r="N99" s="0" t="n">
        <v>3</v>
      </c>
      <c r="O99" s="0" t="s">
        <v>182</v>
      </c>
      <c r="P99" s="0" t="n">
        <v>1</v>
      </c>
      <c r="Q99" s="0" t="n">
        <v>5</v>
      </c>
      <c r="R99" s="0" t="n">
        <v>2</v>
      </c>
      <c r="S99" s="0" t="n">
        <v>3</v>
      </c>
      <c r="T99" s="0" t="n">
        <v>0</v>
      </c>
      <c r="U99" s="0" t="n">
        <v>5</v>
      </c>
      <c r="V99" s="0" t="n">
        <v>20</v>
      </c>
      <c r="W99" s="0" t="n">
        <v>20</v>
      </c>
      <c r="X99" s="0" t="n">
        <v>0</v>
      </c>
      <c r="Y99" s="0" t="n">
        <v>15</v>
      </c>
      <c r="Z99" s="0" t="n">
        <v>25</v>
      </c>
      <c r="AA99" s="0" t="s">
        <v>135</v>
      </c>
      <c r="AB99" s="0" t="s">
        <v>172</v>
      </c>
      <c r="AC99" s="0" t="s">
        <v>143</v>
      </c>
      <c r="AD99" s="0" t="n">
        <v>5</v>
      </c>
      <c r="AE99" s="0" t="s">
        <v>138</v>
      </c>
      <c r="AF99" s="0" t="s">
        <v>161</v>
      </c>
      <c r="AG99" s="0" t="s">
        <v>202</v>
      </c>
      <c r="AH99" s="0" t="n">
        <v>1</v>
      </c>
      <c r="AI99" s="0" t="n">
        <v>9</v>
      </c>
      <c r="AJ99" s="0" t="s">
        <v>185</v>
      </c>
      <c r="AK99" s="0" t="s">
        <v>142</v>
      </c>
      <c r="AL99" s="0" t="n">
        <v>7</v>
      </c>
      <c r="AM99" s="0" t="s">
        <v>143</v>
      </c>
      <c r="AN99" s="0" t="s">
        <v>137</v>
      </c>
      <c r="AO99" s="0" t="n">
        <v>2</v>
      </c>
      <c r="AP99" s="0" t="n">
        <v>7</v>
      </c>
      <c r="AQ99" s="0" t="s">
        <v>175</v>
      </c>
      <c r="AR99" s="0" t="n">
        <v>5</v>
      </c>
      <c r="AS99" s="0" t="n">
        <v>2</v>
      </c>
      <c r="AT99" s="0" t="n">
        <v>4</v>
      </c>
      <c r="AU99" s="0" t="n">
        <v>5</v>
      </c>
      <c r="AV99" s="0" t="n">
        <v>3.71</v>
      </c>
      <c r="AW99" s="0" t="n">
        <v>90</v>
      </c>
      <c r="AX99" s="0" t="n">
        <v>79</v>
      </c>
      <c r="AY99" s="0" t="n">
        <v>3.83</v>
      </c>
      <c r="AZ99" s="0" t="n">
        <v>20</v>
      </c>
      <c r="BA99" s="0" t="s">
        <v>163</v>
      </c>
      <c r="BB99" s="0" t="s">
        <v>146</v>
      </c>
      <c r="BC99" s="0" t="s">
        <v>40</v>
      </c>
      <c r="BD99" s="0" t="s">
        <v>148</v>
      </c>
      <c r="BE99" s="0" t="s">
        <v>149</v>
      </c>
      <c r="BF99" s="31" t="n">
        <v>46096.4205265972</v>
      </c>
      <c r="BG99" s="0" t="s">
        <v>137</v>
      </c>
    </row>
    <row r="100" customFormat="false" ht="15" hidden="false" customHeight="false" outlineLevel="0" collapsed="false">
      <c r="A100" s="0" t="s">
        <v>667</v>
      </c>
      <c r="B100" s="0" t="s">
        <v>668</v>
      </c>
      <c r="C100" s="0" t="s">
        <v>669</v>
      </c>
      <c r="D100" s="0" t="s">
        <v>670</v>
      </c>
      <c r="E100" s="0" t="s">
        <v>39</v>
      </c>
      <c r="F100" s="0" t="s">
        <v>28</v>
      </c>
      <c r="G100" s="0" t="s">
        <v>198</v>
      </c>
      <c r="H100" s="31" t="n">
        <v>44058</v>
      </c>
      <c r="I100" s="0" t="n">
        <v>17</v>
      </c>
      <c r="J100" s="0" t="s">
        <v>155</v>
      </c>
      <c r="K100" s="0" t="s">
        <v>242</v>
      </c>
      <c r="L100" s="0" t="s">
        <v>671</v>
      </c>
      <c r="M100" s="0" t="s">
        <v>158</v>
      </c>
      <c r="N100" s="0" t="n">
        <v>6</v>
      </c>
      <c r="O100" s="0" t="s">
        <v>182</v>
      </c>
      <c r="P100" s="0" t="n">
        <v>2</v>
      </c>
      <c r="Q100" s="0" t="n">
        <v>4</v>
      </c>
      <c r="R100" s="0" t="n">
        <v>2</v>
      </c>
      <c r="S100" s="0" t="n">
        <v>3</v>
      </c>
      <c r="T100" s="0" t="n">
        <v>2</v>
      </c>
      <c r="U100" s="0" t="n">
        <v>7</v>
      </c>
      <c r="V100" s="0" t="n">
        <v>28</v>
      </c>
      <c r="W100" s="0" t="n">
        <v>20</v>
      </c>
      <c r="X100" s="0" t="n">
        <v>0</v>
      </c>
      <c r="Y100" s="0" t="n">
        <v>13</v>
      </c>
      <c r="Z100" s="0" t="n">
        <v>35</v>
      </c>
      <c r="AA100" s="0" t="s">
        <v>135</v>
      </c>
      <c r="AB100" s="0" t="s">
        <v>172</v>
      </c>
      <c r="AC100" s="0" t="s">
        <v>137</v>
      </c>
      <c r="AD100" s="0" t="n">
        <v>8</v>
      </c>
      <c r="AE100" s="0" t="s">
        <v>159</v>
      </c>
      <c r="AF100" s="0" t="s">
        <v>160</v>
      </c>
      <c r="AG100" s="0" t="s">
        <v>161</v>
      </c>
      <c r="AH100" s="0" t="n">
        <v>1</v>
      </c>
      <c r="AI100" s="0" t="n">
        <v>15</v>
      </c>
      <c r="AJ100" s="0" t="s">
        <v>250</v>
      </c>
      <c r="AK100" s="0" t="s">
        <v>142</v>
      </c>
      <c r="AL100" s="0" t="n">
        <v>9</v>
      </c>
      <c r="AM100" s="0" t="s">
        <v>137</v>
      </c>
      <c r="AN100" s="0" t="s">
        <v>143</v>
      </c>
      <c r="AO100" s="0" t="n">
        <v>2</v>
      </c>
      <c r="AP100" s="0" t="n">
        <v>2</v>
      </c>
      <c r="AQ100" s="0" t="s">
        <v>203</v>
      </c>
      <c r="AR100" s="0" t="n">
        <v>4</v>
      </c>
      <c r="AS100" s="0" t="n">
        <v>4</v>
      </c>
      <c r="AT100" s="0" t="n">
        <v>5</v>
      </c>
      <c r="AU100" s="0" t="n">
        <v>4</v>
      </c>
      <c r="AV100" s="0" t="n">
        <v>3.32</v>
      </c>
      <c r="AW100" s="0" t="n">
        <v>64</v>
      </c>
      <c r="AX100" s="0" t="n">
        <v>75</v>
      </c>
      <c r="AY100" s="0" t="n">
        <v>3.54</v>
      </c>
      <c r="AZ100" s="0" t="n">
        <v>16</v>
      </c>
      <c r="BA100" s="0" t="s">
        <v>145</v>
      </c>
      <c r="BB100" s="0" t="s">
        <v>146</v>
      </c>
      <c r="BC100" s="0" t="s">
        <v>40</v>
      </c>
      <c r="BD100" s="0" t="s">
        <v>148</v>
      </c>
      <c r="BE100" s="0" t="s">
        <v>176</v>
      </c>
      <c r="BF100" s="31" t="n">
        <v>46096.4205265972</v>
      </c>
      <c r="BG100" s="0" t="s">
        <v>137</v>
      </c>
    </row>
    <row r="101" customFormat="false" ht="15" hidden="false" customHeight="false" outlineLevel="0" collapsed="false">
      <c r="A101" s="0" t="s">
        <v>672</v>
      </c>
      <c r="B101" s="0" t="s">
        <v>673</v>
      </c>
      <c r="C101" s="0" t="s">
        <v>674</v>
      </c>
      <c r="D101" s="0" t="s">
        <v>675</v>
      </c>
      <c r="E101" s="0" t="s">
        <v>39</v>
      </c>
      <c r="F101" s="0" t="s">
        <v>33</v>
      </c>
      <c r="G101" s="0" t="s">
        <v>198</v>
      </c>
      <c r="H101" s="31" t="n">
        <v>43894</v>
      </c>
      <c r="I101" s="0" t="n">
        <v>3</v>
      </c>
      <c r="J101" s="0" t="s">
        <v>155</v>
      </c>
      <c r="K101" s="0" t="s">
        <v>191</v>
      </c>
      <c r="L101" s="0" t="s">
        <v>676</v>
      </c>
      <c r="M101" s="0" t="s">
        <v>201</v>
      </c>
      <c r="N101" s="0" t="n">
        <v>5</v>
      </c>
      <c r="O101" s="0" t="s">
        <v>171</v>
      </c>
      <c r="P101" s="0" t="n">
        <v>2</v>
      </c>
      <c r="Q101" s="0" t="n">
        <v>2</v>
      </c>
      <c r="R101" s="0" t="n">
        <v>5</v>
      </c>
      <c r="S101" s="0" t="n">
        <v>2</v>
      </c>
      <c r="T101" s="0" t="n">
        <v>0</v>
      </c>
      <c r="U101" s="0" t="n">
        <v>7</v>
      </c>
      <c r="V101" s="0" t="n">
        <v>28</v>
      </c>
      <c r="W101" s="0" t="n">
        <v>20</v>
      </c>
      <c r="X101" s="0" t="n">
        <v>0</v>
      </c>
      <c r="Y101" s="0" t="n">
        <v>13</v>
      </c>
      <c r="Z101" s="0" t="n">
        <v>35</v>
      </c>
      <c r="AA101" s="0" t="s">
        <v>135</v>
      </c>
      <c r="AB101" s="0" t="s">
        <v>136</v>
      </c>
      <c r="AC101" s="0" t="s">
        <v>137</v>
      </c>
      <c r="AD101" s="0" t="n">
        <v>8</v>
      </c>
      <c r="AE101" s="0" t="s">
        <v>183</v>
      </c>
      <c r="AF101" s="0" t="s">
        <v>139</v>
      </c>
      <c r="AG101" s="0" t="s">
        <v>140</v>
      </c>
      <c r="AH101" s="0" t="n">
        <v>2</v>
      </c>
      <c r="AI101" s="0" t="n">
        <v>7</v>
      </c>
      <c r="AJ101" s="0" t="s">
        <v>185</v>
      </c>
      <c r="AK101" s="0" t="s">
        <v>162</v>
      </c>
      <c r="AL101" s="0" t="n">
        <v>10</v>
      </c>
      <c r="AM101" s="0" t="s">
        <v>143</v>
      </c>
      <c r="AN101" s="0" t="s">
        <v>143</v>
      </c>
      <c r="AO101" s="0" t="n">
        <v>2</v>
      </c>
      <c r="AP101" s="0" t="n">
        <v>1</v>
      </c>
      <c r="AQ101" s="0" t="s">
        <v>237</v>
      </c>
      <c r="AR101" s="0" t="n">
        <v>0</v>
      </c>
      <c r="AS101" s="0" t="n">
        <v>4</v>
      </c>
      <c r="AT101" s="0" t="n">
        <v>2</v>
      </c>
      <c r="AU101" s="0" t="n">
        <v>3</v>
      </c>
      <c r="AV101" s="0" t="n">
        <v>4.31</v>
      </c>
      <c r="AW101" s="0" t="n">
        <v>77</v>
      </c>
      <c r="AX101" s="0" t="n">
        <v>88</v>
      </c>
      <c r="AY101" s="0" t="n">
        <v>4.36</v>
      </c>
      <c r="AZ101" s="0" t="n">
        <v>8</v>
      </c>
      <c r="BA101" s="0" t="s">
        <v>163</v>
      </c>
      <c r="BB101" s="0" t="s">
        <v>146</v>
      </c>
      <c r="BC101" s="0" t="s">
        <v>186</v>
      </c>
      <c r="BD101" s="0" t="s">
        <v>148</v>
      </c>
      <c r="BE101" s="0" t="s">
        <v>149</v>
      </c>
      <c r="BF101" s="31" t="n">
        <v>46096.4205265972</v>
      </c>
      <c r="BG101" s="0" t="s">
        <v>137</v>
      </c>
    </row>
  </sheetData>
  <autoFilter ref="A1:BG10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2026-03-15T10:05:33Z</dcterms:created>
  <dc:creator/>
  <dc:description/>
  <dc:language>en-US</dc:language>
  <cp:lastModifiedBy/>
  <dcterms:modified xsi:type="dcterms:W3CDTF">2026-03-29T09:26:58Z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